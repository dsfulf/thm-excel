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David-PC\Projects\thm-excel\"/>
    </mc:Choice>
  </mc:AlternateContent>
  <xr:revisionPtr revIDLastSave="0" documentId="13_ncr:1_{5C051CE5-A5E3-487A-BDCD-E5A11A529F14}" xr6:coauthVersionLast="47" xr6:coauthVersionMax="47" xr10:uidLastSave="{00000000-0000-0000-0000-000000000000}"/>
  <bookViews>
    <workbookView xWindow="-120" yWindow="-120" windowWidth="29040" windowHeight="15840" xr2:uid="{94DEF6B1-1413-4921-B128-8F20631BED37}"/>
  </bookViews>
  <sheets>
    <sheet name="Tests" sheetId="1" r:id="rId1"/>
  </sheets>
  <functionGroups builtInGroupCount="19"/>
  <definedNames>
    <definedName name="bf">Tests!$E$6</definedName>
    <definedName name="bi">Tests!$E$5</definedName>
    <definedName name="bterm">Tests!$E$8</definedName>
    <definedName name="DaysPerMonth">DaysPerYear/12</definedName>
    <definedName name="DaysPerYear">365.25</definedName>
    <definedName name="Di">Tests!$E$4</definedName>
    <definedName name="log_interval">LN(100000) / 200</definedName>
    <definedName name="ModelTime">Tests!$C$33:$C$232</definedName>
    <definedName name="qi">Tests!$E$3</definedName>
    <definedName name="telf">Tests!$E$7</definedName>
    <definedName name="tterm">Tests!$E$9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/>
  <c r="P5" i="1"/>
  <c r="P10" i="1"/>
  <c r="E3" i="1" l="1"/>
  <c r="E4" i="1"/>
  <c r="E6" i="1"/>
  <c r="J6" i="1"/>
  <c r="E7" i="1"/>
  <c r="E11" i="1" s="1"/>
  <c r="E9" i="1"/>
  <c r="F9" i="1" s="1"/>
  <c r="P9" i="1"/>
  <c r="P11" i="1"/>
  <c r="B33" i="1" a="1"/>
  <c r="B33" i="1" s="1"/>
  <c r="C33" i="1" s="1"/>
  <c r="F6" i="1" l="1"/>
  <c r="E8" i="1"/>
  <c r="J7" i="1" a="1"/>
  <c r="J33" i="1" a="1"/>
  <c r="K33" i="1" a="1"/>
  <c r="J3" i="1" a="1"/>
  <c r="F5" i="1" l="1"/>
  <c r="J7" i="1"/>
  <c r="J3" i="1"/>
  <c r="J33" i="1"/>
  <c r="F8" i="1"/>
  <c r="K33" i="1"/>
  <c r="F4" i="1" a="1"/>
  <c r="F3" i="1" a="1"/>
  <c r="L33" i="1" a="1"/>
  <c r="F3" i="1" l="1"/>
  <c r="F4" i="1"/>
  <c r="L33" i="1"/>
  <c r="M33" i="1" a="1"/>
  <c r="M33" i="1" l="1"/>
  <c r="N33" i="1" a="1"/>
  <c r="N33" i="1" l="1"/>
  <c r="O33" i="1" a="1"/>
  <c r="O33" i="1" l="1"/>
  <c r="Q33" i="1" a="1"/>
  <c r="Q33" i="1" l="1"/>
  <c r="T33" i="1" a="1"/>
  <c r="T33" i="1"/>
  <c r="U33" i="1"/>
  <c r="V33" i="1" s="1"/>
  <c r="W33" i="1"/>
  <c r="Y33" i="1"/>
  <c r="X33" i="1" l="1"/>
  <c r="Z33" i="1" a="1"/>
  <c r="AC33" i="1" a="1"/>
  <c r="Z33" i="1" l="1"/>
  <c r="AC33" i="1"/>
  <c r="AD33" i="1" a="1"/>
  <c r="AA33" i="1" l="1"/>
  <c r="AB33" i="1" a="1"/>
  <c r="AB33" i="1" s="1"/>
  <c r="AD33" i="1"/>
  <c r="AE33" i="1" a="1"/>
  <c r="AE33" i="1" l="1"/>
  <c r="AF33" i="1" a="1"/>
  <c r="AF33" i="1" l="1"/>
  <c r="B34" i="1" a="1"/>
  <c r="B34" i="1" s="1"/>
  <c r="C34" i="1" s="1"/>
  <c r="J34" i="1" a="1"/>
  <c r="J34" i="1" l="1"/>
  <c r="K34" i="1" a="1"/>
  <c r="K34" i="1" l="1"/>
  <c r="L34" i="1" a="1"/>
  <c r="L34" i="1" l="1"/>
  <c r="M34" i="1" a="1"/>
  <c r="M34" i="1" l="1"/>
  <c r="N34" i="1" a="1"/>
  <c r="N34" i="1" l="1"/>
  <c r="O34" i="1" a="1"/>
  <c r="O34" i="1" l="1"/>
  <c r="Q34" i="1" a="1"/>
  <c r="Q34" i="1" l="1"/>
  <c r="T34" i="1" a="1"/>
  <c r="T34" i="1" s="1"/>
  <c r="U34" i="1"/>
  <c r="V34" i="1" s="1"/>
  <c r="W34" i="1"/>
  <c r="Y34" i="1"/>
  <c r="X34" i="1" l="1"/>
  <c r="Z34" i="1" a="1"/>
  <c r="AC34" i="1" a="1"/>
  <c r="Z34" i="1" l="1"/>
  <c r="AC34" i="1"/>
  <c r="AD34" i="1" a="1"/>
  <c r="AA34" i="1" l="1"/>
  <c r="AB34" i="1" a="1"/>
  <c r="AB34" i="1" s="1"/>
  <c r="AD34" i="1"/>
  <c r="AE34" i="1" a="1"/>
  <c r="AE34" i="1" l="1"/>
  <c r="AF34" i="1" a="1"/>
  <c r="AF34" i="1" l="1"/>
  <c r="B35" i="1" a="1"/>
  <c r="B35" i="1" s="1"/>
  <c r="C35" i="1" s="1"/>
  <c r="J35" i="1" a="1"/>
  <c r="J35" i="1" l="1"/>
  <c r="K35" i="1" a="1"/>
  <c r="K35" i="1" l="1"/>
  <c r="L35" i="1" a="1"/>
  <c r="L35" i="1" l="1"/>
  <c r="M35" i="1" a="1"/>
  <c r="M35" i="1" l="1"/>
  <c r="N35" i="1" a="1"/>
  <c r="N35" i="1" l="1"/>
  <c r="O35" i="1" a="1"/>
  <c r="O35" i="1" l="1"/>
  <c r="Q35" i="1" a="1"/>
  <c r="Q35" i="1" l="1"/>
  <c r="T35" i="1" a="1"/>
  <c r="T35" i="1" s="1"/>
  <c r="U35" i="1"/>
  <c r="V35" i="1" s="1"/>
  <c r="W35" i="1"/>
  <c r="Y35" i="1"/>
  <c r="X35" i="1" l="1"/>
  <c r="Z35" i="1" a="1"/>
  <c r="AC35" i="1" a="1"/>
  <c r="Z35" i="1" l="1"/>
  <c r="AC35" i="1"/>
  <c r="AD35" i="1" a="1"/>
  <c r="AA35" i="1" l="1"/>
  <c r="AB35" i="1" a="1"/>
  <c r="AB35" i="1" s="1"/>
  <c r="AD35" i="1"/>
  <c r="AE35" i="1" a="1"/>
  <c r="AE35" i="1" l="1"/>
  <c r="AF35" i="1" a="1"/>
  <c r="AF35" i="1" l="1"/>
  <c r="B36" i="1" a="1"/>
  <c r="B36" i="1" s="1"/>
  <c r="C36" i="1" s="1"/>
  <c r="J36" i="1" a="1"/>
  <c r="J36" i="1" l="1"/>
  <c r="K36" i="1" a="1"/>
  <c r="K36" i="1" l="1"/>
  <c r="L36" i="1" a="1"/>
  <c r="L36" i="1" l="1"/>
  <c r="M36" i="1" a="1"/>
  <c r="M36" i="1" l="1"/>
  <c r="N36" i="1" a="1"/>
  <c r="N36" i="1" l="1"/>
  <c r="O36" i="1" a="1"/>
  <c r="O36" i="1" l="1"/>
  <c r="Q36" i="1" a="1"/>
  <c r="Q36" i="1" l="1"/>
  <c r="T36" i="1" a="1"/>
  <c r="T36" i="1"/>
  <c r="U36" i="1"/>
  <c r="V36" i="1" s="1"/>
  <c r="W36" i="1"/>
  <c r="X36" i="1" l="1"/>
  <c r="Z36" i="1" a="1"/>
  <c r="AC36" i="1" a="1"/>
  <c r="Z36" i="1" l="1"/>
  <c r="AC36" i="1"/>
  <c r="AD36" i="1" a="1"/>
  <c r="AA36" i="1" l="1"/>
  <c r="AB36" i="1" a="1"/>
  <c r="AB36" i="1" s="1"/>
  <c r="AD36" i="1"/>
  <c r="AE36" i="1" a="1"/>
  <c r="AE36" i="1" l="1"/>
  <c r="AF36" i="1" a="1"/>
  <c r="AF36" i="1" l="1"/>
  <c r="B37" i="1" a="1"/>
  <c r="B37" i="1" s="1"/>
  <c r="C37" i="1" s="1"/>
  <c r="J37" i="1" a="1"/>
  <c r="J37" i="1" l="1"/>
  <c r="K37" i="1" a="1"/>
  <c r="K37" i="1" l="1"/>
  <c r="L37" i="1" a="1"/>
  <c r="L37" i="1" l="1"/>
  <c r="M37" i="1" a="1"/>
  <c r="M37" i="1" l="1"/>
  <c r="N37" i="1" a="1"/>
  <c r="N37" i="1" l="1"/>
  <c r="O37" i="1" a="1"/>
  <c r="O37" i="1" l="1"/>
  <c r="Q37" i="1" a="1"/>
  <c r="Q37" i="1" l="1"/>
  <c r="T37" i="1" a="1"/>
  <c r="T37" i="1" s="1"/>
  <c r="U37" i="1"/>
  <c r="V37" i="1" s="1"/>
  <c r="W37" i="1"/>
  <c r="X37" i="1" l="1"/>
  <c r="Z37" i="1" a="1"/>
  <c r="AC37" i="1" a="1"/>
  <c r="Z37" i="1" l="1"/>
  <c r="AC37" i="1"/>
  <c r="AD37" i="1" a="1"/>
  <c r="AA37" i="1" l="1"/>
  <c r="AB37" i="1" a="1"/>
  <c r="AB37" i="1" s="1"/>
  <c r="AD37" i="1"/>
  <c r="AE37" i="1" a="1"/>
  <c r="AE37" i="1" l="1"/>
  <c r="AF37" i="1" a="1"/>
  <c r="AF37" i="1" l="1"/>
  <c r="B38" i="1" a="1"/>
  <c r="B38" i="1" s="1"/>
  <c r="C38" i="1" s="1"/>
  <c r="J38" i="1" a="1"/>
  <c r="J38" i="1" l="1"/>
  <c r="K38" i="1" a="1"/>
  <c r="K38" i="1" l="1"/>
  <c r="L38" i="1" a="1"/>
  <c r="L38" i="1" l="1"/>
  <c r="M38" i="1" a="1"/>
  <c r="M38" i="1" l="1"/>
  <c r="N38" i="1" a="1"/>
  <c r="N38" i="1" l="1"/>
  <c r="O38" i="1" a="1"/>
  <c r="O38" i="1" l="1"/>
  <c r="Q38" i="1" a="1"/>
  <c r="Q38" i="1" l="1"/>
  <c r="T38" i="1" a="1"/>
  <c r="T38" i="1" s="1"/>
  <c r="U38" i="1"/>
  <c r="V38" i="1" s="1"/>
  <c r="W38" i="1"/>
  <c r="X38" i="1" l="1"/>
  <c r="Z38" i="1" a="1"/>
  <c r="AC38" i="1" a="1"/>
  <c r="Z38" i="1" l="1"/>
  <c r="AC38" i="1"/>
  <c r="AD38" i="1" a="1"/>
  <c r="AB38" i="1" l="1" a="1"/>
  <c r="AB38" i="1" s="1"/>
  <c r="AA38" i="1"/>
  <c r="AD38" i="1"/>
  <c r="AE38" i="1" a="1"/>
  <c r="AE38" i="1" l="1"/>
  <c r="AF38" i="1" a="1"/>
  <c r="AF38" i="1" l="1"/>
  <c r="B39" i="1" a="1"/>
  <c r="B39" i="1" s="1"/>
  <c r="C39" i="1" s="1"/>
  <c r="J39" i="1" a="1"/>
  <c r="J39" i="1" l="1"/>
  <c r="K39" i="1" a="1"/>
  <c r="K39" i="1" l="1"/>
  <c r="L39" i="1" a="1"/>
  <c r="L39" i="1" l="1"/>
  <c r="M39" i="1" a="1"/>
  <c r="M39" i="1" l="1"/>
  <c r="N39" i="1" a="1"/>
  <c r="N39" i="1" l="1"/>
  <c r="O39" i="1" a="1"/>
  <c r="O39" i="1" l="1"/>
  <c r="Q39" i="1" a="1"/>
  <c r="Q39" i="1" l="1"/>
  <c r="T39" i="1" a="1"/>
  <c r="T39" i="1" s="1"/>
  <c r="U39" i="1"/>
  <c r="V39" i="1" s="1"/>
  <c r="W39" i="1"/>
  <c r="X39" i="1" l="1"/>
  <c r="Z39" i="1" a="1"/>
  <c r="AC39" i="1" a="1"/>
  <c r="Z39" i="1" l="1"/>
  <c r="AC39" i="1"/>
  <c r="AD39" i="1" a="1"/>
  <c r="AB39" i="1" l="1" a="1"/>
  <c r="AB39" i="1" s="1"/>
  <c r="AA39" i="1"/>
  <c r="AD39" i="1"/>
  <c r="AE39" i="1" a="1"/>
  <c r="AE39" i="1" l="1"/>
  <c r="AF39" i="1" a="1"/>
  <c r="AF39" i="1" l="1"/>
  <c r="B40" i="1" a="1"/>
  <c r="B40" i="1" s="1"/>
  <c r="C40" i="1" s="1"/>
  <c r="J40" i="1" a="1"/>
  <c r="J40" i="1" l="1"/>
  <c r="K40" i="1" a="1"/>
  <c r="K40" i="1" l="1"/>
  <c r="L40" i="1" a="1"/>
  <c r="L40" i="1" l="1"/>
  <c r="M40" i="1" a="1"/>
  <c r="M40" i="1" l="1"/>
  <c r="N40" i="1" a="1"/>
  <c r="N40" i="1" l="1"/>
  <c r="O40" i="1" a="1"/>
  <c r="O40" i="1" l="1"/>
  <c r="Q40" i="1" a="1"/>
  <c r="Q40" i="1" l="1"/>
  <c r="T40" i="1" a="1"/>
  <c r="T40" i="1" s="1"/>
  <c r="U40" i="1"/>
  <c r="V40" i="1" s="1"/>
  <c r="W40" i="1"/>
  <c r="X40" i="1" l="1"/>
  <c r="Z40" i="1" a="1"/>
  <c r="AC40" i="1" a="1"/>
  <c r="Z40" i="1" l="1"/>
  <c r="AC40" i="1"/>
  <c r="AD40" i="1" a="1"/>
  <c r="AA40" i="1" l="1"/>
  <c r="AB40" i="1" a="1"/>
  <c r="AB40" i="1" s="1"/>
  <c r="AD40" i="1"/>
  <c r="AE40" i="1" a="1"/>
  <c r="AE40" i="1" l="1"/>
  <c r="AF40" i="1" a="1"/>
  <c r="AF40" i="1" l="1"/>
  <c r="B41" i="1" a="1"/>
  <c r="B41" i="1" s="1"/>
  <c r="C41" i="1" s="1"/>
  <c r="J41" i="1" a="1"/>
  <c r="J41" i="1" l="1"/>
  <c r="K41" i="1" a="1"/>
  <c r="K41" i="1" l="1"/>
  <c r="L41" i="1" a="1"/>
  <c r="L41" i="1" l="1"/>
  <c r="M41" i="1" a="1"/>
  <c r="M41" i="1" l="1"/>
  <c r="N41" i="1" a="1"/>
  <c r="N41" i="1" l="1"/>
  <c r="O41" i="1" a="1"/>
  <c r="O41" i="1" l="1"/>
  <c r="Q41" i="1" a="1"/>
  <c r="Q41" i="1" l="1"/>
  <c r="T41" i="1" a="1"/>
  <c r="T41" i="1"/>
  <c r="U41" i="1"/>
  <c r="V41" i="1" s="1"/>
  <c r="W41" i="1"/>
  <c r="X41" i="1" l="1"/>
  <c r="Z41" i="1" a="1"/>
  <c r="AC41" i="1" a="1"/>
  <c r="Z41" i="1" l="1"/>
  <c r="AC41" i="1"/>
  <c r="AD41" i="1" a="1"/>
  <c r="AB41" i="1" l="1" a="1"/>
  <c r="AB41" i="1" s="1"/>
  <c r="AA41" i="1"/>
  <c r="AD41" i="1"/>
  <c r="AE41" i="1" a="1"/>
  <c r="AE41" i="1" l="1"/>
  <c r="AF41" i="1" a="1"/>
  <c r="AF41" i="1" l="1"/>
  <c r="B42" i="1" a="1"/>
  <c r="B42" i="1" s="1"/>
  <c r="C42" i="1" s="1"/>
  <c r="J42" i="1" a="1"/>
  <c r="J42" i="1" l="1"/>
  <c r="K42" i="1" a="1"/>
  <c r="K42" i="1" l="1"/>
  <c r="L42" i="1" a="1"/>
  <c r="L42" i="1" l="1"/>
  <c r="M42" i="1" a="1"/>
  <c r="M42" i="1" l="1"/>
  <c r="N42" i="1" a="1"/>
  <c r="N42" i="1" l="1"/>
  <c r="O42" i="1" a="1"/>
  <c r="O42" i="1" l="1"/>
  <c r="Q42" i="1" a="1"/>
  <c r="Q42" i="1" l="1"/>
  <c r="T42" i="1" a="1"/>
  <c r="T42" i="1"/>
  <c r="U42" i="1"/>
  <c r="V42" i="1" s="1"/>
  <c r="W42" i="1"/>
  <c r="X42" i="1" l="1"/>
  <c r="Z42" i="1" a="1"/>
  <c r="AC42" i="1" a="1"/>
  <c r="Z42" i="1" l="1"/>
  <c r="AC42" i="1"/>
  <c r="AD42" i="1" a="1"/>
  <c r="AA42" i="1" l="1"/>
  <c r="AB42" i="1" a="1"/>
  <c r="AB42" i="1" s="1"/>
  <c r="AD42" i="1"/>
  <c r="AE42" i="1" a="1"/>
  <c r="AE42" i="1" l="1"/>
  <c r="AF42" i="1" a="1"/>
  <c r="AF42" i="1" l="1"/>
  <c r="B43" i="1" a="1"/>
  <c r="B43" i="1" s="1"/>
  <c r="C43" i="1" s="1"/>
  <c r="J43" i="1" a="1"/>
  <c r="J43" i="1" l="1"/>
  <c r="K43" i="1" a="1"/>
  <c r="K43" i="1" l="1"/>
  <c r="L43" i="1" a="1"/>
  <c r="L43" i="1" l="1"/>
  <c r="M43" i="1" a="1"/>
  <c r="M43" i="1" l="1"/>
  <c r="N43" i="1" a="1"/>
  <c r="N43" i="1" l="1"/>
  <c r="O43" i="1" a="1"/>
  <c r="O43" i="1" l="1"/>
  <c r="Q43" i="1" a="1"/>
  <c r="Q43" i="1" l="1"/>
  <c r="T43" i="1" a="1"/>
  <c r="T43" i="1" s="1"/>
  <c r="U43" i="1"/>
  <c r="V43" i="1" s="1"/>
  <c r="W43" i="1"/>
  <c r="X43" i="1" l="1"/>
  <c r="Z43" i="1" a="1"/>
  <c r="AC43" i="1" a="1"/>
  <c r="Z43" i="1" l="1"/>
  <c r="AC43" i="1"/>
  <c r="AD43" i="1" a="1"/>
  <c r="AA43" i="1" l="1"/>
  <c r="AB43" i="1" a="1"/>
  <c r="AB43" i="1" s="1"/>
  <c r="AD43" i="1"/>
  <c r="AE43" i="1" a="1"/>
  <c r="AE43" i="1" l="1"/>
  <c r="AF43" i="1" a="1"/>
  <c r="AF43" i="1" l="1"/>
  <c r="B44" i="1" a="1"/>
  <c r="B44" i="1" s="1"/>
  <c r="C44" i="1" s="1"/>
  <c r="J44" i="1" a="1"/>
  <c r="J44" i="1" l="1"/>
  <c r="K44" i="1" a="1"/>
  <c r="K44" i="1" l="1"/>
  <c r="L44" i="1" a="1"/>
  <c r="L44" i="1" l="1"/>
  <c r="M44" i="1" a="1"/>
  <c r="M44" i="1" l="1"/>
  <c r="N44" i="1" a="1"/>
  <c r="N44" i="1" l="1"/>
  <c r="O44" i="1" a="1"/>
  <c r="O44" i="1" l="1"/>
  <c r="Q44" i="1" a="1"/>
  <c r="Q44" i="1" l="1"/>
  <c r="T44" i="1" a="1"/>
  <c r="T44" i="1" s="1"/>
  <c r="U44" i="1"/>
  <c r="V44" i="1" s="1"/>
  <c r="W44" i="1"/>
  <c r="X44" i="1" l="1"/>
  <c r="Z44" i="1" a="1"/>
  <c r="AC44" i="1" a="1"/>
  <c r="Z44" i="1" l="1"/>
  <c r="AC44" i="1"/>
  <c r="AD44" i="1" a="1"/>
  <c r="AA44" i="1" l="1"/>
  <c r="AB44" i="1" a="1"/>
  <c r="AB44" i="1" s="1"/>
  <c r="AD44" i="1"/>
  <c r="AE44" i="1" a="1"/>
  <c r="AE44" i="1" l="1"/>
  <c r="AF44" i="1" a="1"/>
  <c r="AF44" i="1" l="1"/>
  <c r="B45" i="1" a="1"/>
  <c r="B45" i="1" s="1"/>
  <c r="C45" i="1" s="1"/>
  <c r="J45" i="1" a="1"/>
  <c r="J45" i="1" l="1"/>
  <c r="K45" i="1" a="1"/>
  <c r="K45" i="1" l="1"/>
  <c r="L45" i="1" a="1"/>
  <c r="L45" i="1" l="1"/>
  <c r="M45" i="1" a="1"/>
  <c r="M45" i="1" l="1"/>
  <c r="N45" i="1" a="1"/>
  <c r="N45" i="1" l="1"/>
  <c r="O45" i="1" a="1"/>
  <c r="O45" i="1" l="1"/>
  <c r="Q45" i="1" a="1"/>
  <c r="Q45" i="1" l="1"/>
  <c r="T45" i="1" a="1"/>
  <c r="T45" i="1" s="1"/>
  <c r="U45" i="1"/>
  <c r="V45" i="1" s="1"/>
  <c r="W45" i="1"/>
  <c r="X45" i="1" l="1"/>
  <c r="Z45" i="1" a="1"/>
  <c r="AC45" i="1" a="1"/>
  <c r="Z45" i="1" l="1"/>
  <c r="AC45" i="1"/>
  <c r="AD45" i="1" a="1"/>
  <c r="AA45" i="1" l="1"/>
  <c r="AB45" i="1" a="1"/>
  <c r="AB45" i="1" s="1"/>
  <c r="AD45" i="1"/>
  <c r="AE45" i="1" a="1"/>
  <c r="AE45" i="1" l="1"/>
  <c r="AF45" i="1" a="1"/>
  <c r="AF45" i="1" l="1"/>
  <c r="B46" i="1" a="1"/>
  <c r="B46" i="1" s="1"/>
  <c r="C46" i="1" s="1"/>
  <c r="J46" i="1" a="1"/>
  <c r="J46" i="1" l="1"/>
  <c r="K46" i="1" a="1"/>
  <c r="K46" i="1" l="1"/>
  <c r="L46" i="1" a="1"/>
  <c r="L46" i="1" l="1"/>
  <c r="M46" i="1" a="1"/>
  <c r="M46" i="1" l="1"/>
  <c r="N46" i="1" a="1"/>
  <c r="N46" i="1" l="1"/>
  <c r="O46" i="1" a="1"/>
  <c r="O46" i="1" l="1"/>
  <c r="Q46" i="1" a="1"/>
  <c r="Q46" i="1" l="1"/>
  <c r="T46" i="1" a="1"/>
  <c r="T46" i="1" s="1"/>
  <c r="U46" i="1"/>
  <c r="V46" i="1" s="1"/>
  <c r="W46" i="1"/>
  <c r="X46" i="1" l="1"/>
  <c r="Z46" i="1" a="1"/>
  <c r="AC46" i="1" a="1"/>
  <c r="Z46" i="1" l="1"/>
  <c r="AC46" i="1"/>
  <c r="AD46" i="1" a="1"/>
  <c r="AA46" i="1" l="1"/>
  <c r="AB46" i="1" a="1"/>
  <c r="AB46" i="1" s="1"/>
  <c r="AD46" i="1"/>
  <c r="AE46" i="1" a="1"/>
  <c r="AE46" i="1" l="1"/>
  <c r="AF46" i="1" a="1"/>
  <c r="AF46" i="1" l="1"/>
  <c r="B47" i="1" a="1"/>
  <c r="B47" i="1" s="1"/>
  <c r="C47" i="1" s="1"/>
  <c r="J47" i="1" a="1"/>
  <c r="J47" i="1" l="1"/>
  <c r="K47" i="1" a="1"/>
  <c r="K47" i="1" l="1"/>
  <c r="L47" i="1" a="1"/>
  <c r="L47" i="1" l="1"/>
  <c r="M47" i="1" a="1"/>
  <c r="M47" i="1" l="1"/>
  <c r="N47" i="1" a="1"/>
  <c r="N47" i="1" l="1"/>
  <c r="O47" i="1" a="1"/>
  <c r="O47" i="1" l="1"/>
  <c r="Q47" i="1" a="1"/>
  <c r="Q47" i="1" l="1"/>
  <c r="T47" i="1" a="1"/>
  <c r="T47" i="1" s="1"/>
  <c r="U47" i="1"/>
  <c r="V47" i="1" s="1"/>
  <c r="W47" i="1"/>
  <c r="X47" i="1" l="1"/>
  <c r="Z47" i="1" a="1"/>
  <c r="AC47" i="1" a="1"/>
  <c r="Z47" i="1" l="1"/>
  <c r="AC47" i="1"/>
  <c r="AD47" i="1" a="1"/>
  <c r="AA47" i="1" l="1"/>
  <c r="AB47" i="1" a="1"/>
  <c r="AB47" i="1" s="1"/>
  <c r="AD47" i="1"/>
  <c r="AE47" i="1" a="1"/>
  <c r="AE47" i="1" l="1"/>
  <c r="AF47" i="1" a="1"/>
  <c r="AF47" i="1" l="1"/>
  <c r="B48" i="1" a="1"/>
  <c r="B48" i="1" s="1"/>
  <c r="C48" i="1" s="1"/>
  <c r="J48" i="1" a="1"/>
  <c r="J48" i="1" l="1"/>
  <c r="K48" i="1" a="1"/>
  <c r="K48" i="1" l="1"/>
  <c r="L48" i="1" a="1"/>
  <c r="L48" i="1" l="1"/>
  <c r="M48" i="1" a="1"/>
  <c r="M48" i="1" l="1"/>
  <c r="N48" i="1" a="1"/>
  <c r="N48" i="1" l="1"/>
  <c r="O48" i="1" a="1"/>
  <c r="O48" i="1" l="1"/>
  <c r="Q48" i="1" a="1"/>
  <c r="Q48" i="1" l="1"/>
  <c r="T48" i="1" a="1"/>
  <c r="T48" i="1"/>
  <c r="U48" i="1"/>
  <c r="V48" i="1" s="1"/>
  <c r="W48" i="1"/>
  <c r="X48" i="1" l="1"/>
  <c r="Z48" i="1" a="1"/>
  <c r="AC48" i="1" a="1"/>
  <c r="Z48" i="1" l="1"/>
  <c r="AC48" i="1"/>
  <c r="AD48" i="1" a="1"/>
  <c r="AA48" i="1" l="1"/>
  <c r="AB48" i="1" a="1"/>
  <c r="AB48" i="1" s="1"/>
  <c r="AD48" i="1"/>
  <c r="AE48" i="1" a="1"/>
  <c r="AE48" i="1" l="1"/>
  <c r="AF48" i="1" a="1"/>
  <c r="AF48" i="1" l="1"/>
  <c r="B49" i="1" a="1"/>
  <c r="B49" i="1" s="1"/>
  <c r="C49" i="1" s="1"/>
  <c r="J49" i="1" a="1"/>
  <c r="J49" i="1" l="1"/>
  <c r="K49" i="1" a="1"/>
  <c r="K49" i="1" l="1"/>
  <c r="L49" i="1" a="1"/>
  <c r="L49" i="1" l="1"/>
  <c r="M49" i="1" a="1"/>
  <c r="M49" i="1" l="1"/>
  <c r="N49" i="1" a="1"/>
  <c r="N49" i="1" l="1"/>
  <c r="O49" i="1" a="1"/>
  <c r="O49" i="1" l="1"/>
  <c r="T49" i="1" a="1"/>
  <c r="T49" i="1"/>
  <c r="U49" i="1"/>
  <c r="V49" i="1" s="1"/>
  <c r="W49" i="1"/>
  <c r="Q49" i="1" a="1"/>
  <c r="AC49" i="1" a="1"/>
  <c r="Q49" i="1" l="1"/>
  <c r="X49" i="1"/>
  <c r="AC49" i="1"/>
  <c r="AD49" i="1" a="1"/>
  <c r="Z49" i="1" a="1"/>
  <c r="Z49" i="1" l="1"/>
  <c r="AA49" i="1" s="1"/>
  <c r="AD49" i="1"/>
  <c r="AE49" i="1" a="1"/>
  <c r="AB49" i="1" l="1" a="1"/>
  <c r="AB49" i="1" s="1"/>
  <c r="AE49" i="1"/>
  <c r="B50" i="1" a="1"/>
  <c r="B50" i="1"/>
  <c r="C50" i="1"/>
  <c r="T50" i="1" a="1"/>
  <c r="T50" i="1"/>
  <c r="U50" i="1"/>
  <c r="V50" i="1" s="1"/>
  <c r="W50" i="1"/>
  <c r="K50" i="1" a="1"/>
  <c r="L50" i="1" a="1"/>
  <c r="AF49" i="1" a="1"/>
  <c r="M50" i="1" a="1"/>
  <c r="AC50" i="1" a="1"/>
  <c r="Q50" i="1" a="1"/>
  <c r="N50" i="1" a="1"/>
  <c r="O50" i="1" a="1"/>
  <c r="J50" i="1" a="1"/>
  <c r="J50" i="1" l="1"/>
  <c r="O50" i="1"/>
  <c r="N50" i="1"/>
  <c r="Q50" i="1"/>
  <c r="M50" i="1"/>
  <c r="AF49" i="1"/>
  <c r="L50" i="1"/>
  <c r="K50" i="1"/>
  <c r="X50" i="1"/>
  <c r="AC50" i="1"/>
  <c r="Z50" i="1" a="1"/>
  <c r="AD50" i="1" a="1"/>
  <c r="Z50" i="1" l="1"/>
  <c r="AA50" i="1" s="1"/>
  <c r="AD50" i="1"/>
  <c r="B51" i="1" a="1"/>
  <c r="B51" i="1" s="1"/>
  <c r="C51" i="1" s="1"/>
  <c r="T51" i="1" a="1"/>
  <c r="T51" i="1" s="1"/>
  <c r="U51" i="1"/>
  <c r="V51" i="1" s="1"/>
  <c r="W51" i="1"/>
  <c r="L51" i="1" a="1"/>
  <c r="AC51" i="1" a="1"/>
  <c r="M51" i="1" a="1"/>
  <c r="K51" i="1" a="1"/>
  <c r="Q51" i="1" a="1"/>
  <c r="N51" i="1" a="1"/>
  <c r="AE50" i="1" a="1"/>
  <c r="J51" i="1" a="1"/>
  <c r="O51" i="1" a="1"/>
  <c r="AF50" i="1" a="1"/>
  <c r="AB50" i="1" l="1" a="1"/>
  <c r="AB50" i="1" s="1"/>
  <c r="AF50" i="1"/>
  <c r="O51" i="1"/>
  <c r="J51" i="1"/>
  <c r="AE50" i="1"/>
  <c r="N51" i="1"/>
  <c r="Q51" i="1"/>
  <c r="K51" i="1"/>
  <c r="M51" i="1"/>
  <c r="L51" i="1"/>
  <c r="X51" i="1"/>
  <c r="AC51" i="1"/>
  <c r="AD51" i="1" a="1"/>
  <c r="Z51" i="1" a="1"/>
  <c r="Z51" i="1" l="1"/>
  <c r="AA51" i="1" s="1"/>
  <c r="AD51" i="1"/>
  <c r="AE51" i="1" a="1"/>
  <c r="AB51" i="1" l="1" a="1"/>
  <c r="AB51" i="1" s="1"/>
  <c r="AE51" i="1"/>
  <c r="B52" i="1" a="1"/>
  <c r="B52" i="1" s="1"/>
  <c r="C52" i="1" s="1"/>
  <c r="T52" i="1" a="1"/>
  <c r="T52" i="1" s="1"/>
  <c r="U52" i="1"/>
  <c r="V52" i="1" s="1"/>
  <c r="W52" i="1"/>
  <c r="O52" i="1" a="1"/>
  <c r="N52" i="1" a="1"/>
  <c r="AF51" i="1" a="1"/>
  <c r="Q52" i="1" a="1"/>
  <c r="J52" i="1" a="1"/>
  <c r="K52" i="1" a="1"/>
  <c r="L52" i="1" a="1"/>
  <c r="AC52" i="1" a="1"/>
  <c r="M52" i="1" a="1"/>
  <c r="M52" i="1" l="1"/>
  <c r="L52" i="1"/>
  <c r="K52" i="1"/>
  <c r="J52" i="1"/>
  <c r="Q52" i="1"/>
  <c r="AF51" i="1"/>
  <c r="N52" i="1"/>
  <c r="O52" i="1"/>
  <c r="X52" i="1"/>
  <c r="AC52" i="1"/>
  <c r="Z52" i="1" a="1"/>
  <c r="AD52" i="1" a="1"/>
  <c r="Z52" i="1" l="1"/>
  <c r="AA52" i="1" s="1"/>
  <c r="AD52" i="1"/>
  <c r="B53" i="1" a="1"/>
  <c r="B53" i="1" s="1"/>
  <c r="C53" i="1" s="1"/>
  <c r="T53" i="1" a="1"/>
  <c r="T53" i="1" s="1"/>
  <c r="U53" i="1"/>
  <c r="V53" i="1" s="1"/>
  <c r="W53" i="1"/>
  <c r="K53" i="1" a="1"/>
  <c r="M53" i="1" a="1"/>
  <c r="AC53" i="1" a="1"/>
  <c r="L53" i="1" a="1"/>
  <c r="J53" i="1" a="1"/>
  <c r="AF52" i="1" a="1"/>
  <c r="N53" i="1" a="1"/>
  <c r="AE52" i="1" a="1"/>
  <c r="O53" i="1" a="1"/>
  <c r="Q53" i="1" a="1"/>
  <c r="AB52" i="1" l="1" a="1"/>
  <c r="AB52" i="1" s="1"/>
  <c r="Q53" i="1"/>
  <c r="O53" i="1"/>
  <c r="AE52" i="1"/>
  <c r="N53" i="1"/>
  <c r="AF52" i="1"/>
  <c r="J53" i="1"/>
  <c r="L53" i="1"/>
  <c r="M53" i="1"/>
  <c r="K53" i="1"/>
  <c r="X53" i="1"/>
  <c r="AC53" i="1"/>
  <c r="Z53" i="1" a="1"/>
  <c r="AD53" i="1" a="1"/>
  <c r="Z53" i="1" l="1"/>
  <c r="AA53" i="1" s="1"/>
  <c r="AD53" i="1"/>
  <c r="AE53" i="1" a="1"/>
  <c r="AB53" i="1" l="1" a="1"/>
  <c r="AB53" i="1" s="1"/>
  <c r="AE53" i="1"/>
  <c r="B54" i="1" a="1"/>
  <c r="B54" i="1" s="1"/>
  <c r="C54" i="1" s="1"/>
  <c r="T54" i="1" a="1"/>
  <c r="T54" i="1"/>
  <c r="U54" i="1"/>
  <c r="V54" i="1" s="1"/>
  <c r="W54" i="1"/>
  <c r="N54" i="1" a="1"/>
  <c r="AC54" i="1" a="1"/>
  <c r="O54" i="1" a="1"/>
  <c r="J54" i="1" a="1"/>
  <c r="K54" i="1" a="1"/>
  <c r="AF53" i="1" a="1"/>
  <c r="Q54" i="1" a="1"/>
  <c r="M54" i="1" a="1"/>
  <c r="L54" i="1" a="1"/>
  <c r="L54" i="1" l="1"/>
  <c r="M54" i="1"/>
  <c r="Q54" i="1"/>
  <c r="AF53" i="1"/>
  <c r="K54" i="1"/>
  <c r="J54" i="1"/>
  <c r="O54" i="1"/>
  <c r="N54" i="1"/>
  <c r="X54" i="1"/>
  <c r="AC54" i="1"/>
  <c r="Z54" i="1" a="1"/>
  <c r="AD54" i="1" a="1"/>
  <c r="Z54" i="1" l="1"/>
  <c r="AA54" i="1" s="1"/>
  <c r="AD54" i="1"/>
  <c r="AE54" i="1" a="1"/>
  <c r="AB54" i="1" l="1" a="1"/>
  <c r="AB54" i="1" s="1"/>
  <c r="AE54" i="1"/>
  <c r="B55" i="1" a="1"/>
  <c r="B55" i="1"/>
  <c r="C55" i="1"/>
  <c r="T55" i="1" a="1"/>
  <c r="T55" i="1"/>
  <c r="U55" i="1"/>
  <c r="V55" i="1" s="1"/>
  <c r="W55" i="1"/>
  <c r="L55" i="1" a="1"/>
  <c r="M55" i="1" a="1"/>
  <c r="AC55" i="1" a="1"/>
  <c r="N55" i="1" a="1"/>
  <c r="Q55" i="1" a="1"/>
  <c r="J55" i="1" a="1"/>
  <c r="K55" i="1" a="1"/>
  <c r="AF54" i="1" a="1"/>
  <c r="O55" i="1" a="1"/>
  <c r="O55" i="1" l="1"/>
  <c r="AF54" i="1"/>
  <c r="K55" i="1"/>
  <c r="J55" i="1"/>
  <c r="Q55" i="1"/>
  <c r="N55" i="1"/>
  <c r="M55" i="1"/>
  <c r="L55" i="1"/>
  <c r="X55" i="1"/>
  <c r="AC55" i="1"/>
  <c r="Z55" i="1" a="1"/>
  <c r="AD55" i="1" a="1"/>
  <c r="Z55" i="1" l="1"/>
  <c r="AA55" i="1" s="1"/>
  <c r="AB55" i="1" a="1"/>
  <c r="AB55" i="1" s="1"/>
  <c r="AD55" i="1"/>
  <c r="B56" i="1" a="1"/>
  <c r="B56" i="1" s="1"/>
  <c r="C56" i="1" s="1"/>
  <c r="T56" i="1" a="1"/>
  <c r="T56" i="1" s="1"/>
  <c r="U56" i="1"/>
  <c r="V56" i="1" s="1"/>
  <c r="W56" i="1"/>
  <c r="L56" i="1" a="1"/>
  <c r="AC56" i="1" a="1"/>
  <c r="O56" i="1" a="1"/>
  <c r="AF55" i="1" a="1"/>
  <c r="M56" i="1" a="1"/>
  <c r="Q56" i="1" a="1"/>
  <c r="J56" i="1" a="1"/>
  <c r="N56" i="1" a="1"/>
  <c r="K56" i="1" a="1"/>
  <c r="AE55" i="1" a="1"/>
  <c r="AE55" i="1" l="1"/>
  <c r="K56" i="1"/>
  <c r="N56" i="1"/>
  <c r="J56" i="1"/>
  <c r="Q56" i="1"/>
  <c r="M56" i="1"/>
  <c r="AF55" i="1"/>
  <c r="O56" i="1"/>
  <c r="L56" i="1"/>
  <c r="X56" i="1"/>
  <c r="AC56" i="1"/>
  <c r="Z56" i="1" a="1"/>
  <c r="AD56" i="1" a="1"/>
  <c r="Z56" i="1" l="1"/>
  <c r="AA56" i="1" s="1"/>
  <c r="AD56" i="1"/>
  <c r="AE56" i="1" a="1"/>
  <c r="AB56" i="1" l="1" a="1"/>
  <c r="AB56" i="1" s="1"/>
  <c r="AE56" i="1"/>
  <c r="B57" i="1" a="1"/>
  <c r="B57" i="1" s="1"/>
  <c r="C57" i="1" s="1"/>
  <c r="T57" i="1" a="1"/>
  <c r="T57" i="1" s="1"/>
  <c r="U57" i="1"/>
  <c r="V57" i="1" s="1"/>
  <c r="W57" i="1"/>
  <c r="M57" i="1" a="1"/>
  <c r="N57" i="1" a="1"/>
  <c r="O57" i="1" a="1"/>
  <c r="J57" i="1" a="1"/>
  <c r="K57" i="1" a="1"/>
  <c r="AF56" i="1" a="1"/>
  <c r="L57" i="1" a="1"/>
  <c r="Q57" i="1" a="1"/>
  <c r="AC57" i="1" a="1"/>
  <c r="Q57" i="1" l="1"/>
  <c r="L57" i="1"/>
  <c r="AF56" i="1"/>
  <c r="K57" i="1"/>
  <c r="J57" i="1"/>
  <c r="O57" i="1"/>
  <c r="N57" i="1"/>
  <c r="M57" i="1"/>
  <c r="X57" i="1"/>
  <c r="AC57" i="1"/>
  <c r="Z57" i="1" a="1"/>
  <c r="AD57" i="1" a="1"/>
  <c r="Z57" i="1" l="1"/>
  <c r="AB57" i="1" s="1" a="1"/>
  <c r="AB57" i="1" s="1"/>
  <c r="AD57" i="1"/>
  <c r="AA57" i="1" l="1"/>
  <c r="AE57" i="1" a="1"/>
  <c r="AF57" i="1" a="1"/>
  <c r="AE57" i="1" l="1"/>
  <c r="AF57" i="1"/>
  <c r="B58" i="1" a="1"/>
  <c r="B58" i="1" s="1"/>
  <c r="C58" i="1" s="1"/>
  <c r="T58" i="1" a="1"/>
  <c r="T58" i="1" s="1"/>
  <c r="U58" i="1"/>
  <c r="V58" i="1" s="1"/>
  <c r="W58" i="1"/>
  <c r="O58" i="1" a="1"/>
  <c r="Q58" i="1" a="1"/>
  <c r="M58" i="1" a="1"/>
  <c r="K58" i="1" a="1"/>
  <c r="L58" i="1" a="1"/>
  <c r="J58" i="1" a="1"/>
  <c r="AC58" i="1" a="1"/>
  <c r="N58" i="1" a="1"/>
  <c r="N58" i="1" l="1"/>
  <c r="J58" i="1"/>
  <c r="L58" i="1"/>
  <c r="K58" i="1"/>
  <c r="M58" i="1"/>
  <c r="Q58" i="1"/>
  <c r="O58" i="1"/>
  <c r="X58" i="1"/>
  <c r="AC58" i="1"/>
  <c r="Z58" i="1" a="1"/>
  <c r="AD58" i="1" a="1"/>
  <c r="Z58" i="1" l="1"/>
  <c r="AA58" i="1" s="1"/>
  <c r="AD58" i="1"/>
  <c r="AE58" i="1" a="1"/>
  <c r="AB58" i="1" l="1" a="1"/>
  <c r="AB58" i="1" s="1"/>
  <c r="AE58" i="1"/>
  <c r="B59" i="1" a="1"/>
  <c r="B59" i="1" s="1"/>
  <c r="C59" i="1" s="1"/>
  <c r="T59" i="1" a="1"/>
  <c r="T59" i="1" s="1"/>
  <c r="U59" i="1"/>
  <c r="V59" i="1" s="1"/>
  <c r="W59" i="1"/>
  <c r="N59" i="1" a="1"/>
  <c r="AF58" i="1" a="1"/>
  <c r="Q59" i="1" a="1"/>
  <c r="M59" i="1" a="1"/>
  <c r="J59" i="1" a="1"/>
  <c r="K59" i="1" a="1"/>
  <c r="L59" i="1" a="1"/>
  <c r="AC59" i="1" a="1"/>
  <c r="O59" i="1" a="1"/>
  <c r="O59" i="1" l="1"/>
  <c r="L59" i="1"/>
  <c r="K59" i="1"/>
  <c r="J59" i="1"/>
  <c r="M59" i="1"/>
  <c r="Q59" i="1"/>
  <c r="AF58" i="1"/>
  <c r="N59" i="1"/>
  <c r="X59" i="1"/>
  <c r="AC59" i="1"/>
  <c r="Z59" i="1" a="1"/>
  <c r="AD59" i="1" a="1"/>
  <c r="Z59" i="1" l="1"/>
  <c r="AA59" i="1" s="1"/>
  <c r="AD59" i="1"/>
  <c r="AE59" i="1" a="1"/>
  <c r="AB59" i="1" l="1" a="1"/>
  <c r="AB59" i="1" s="1"/>
  <c r="AE59" i="1"/>
  <c r="B60" i="1" a="1"/>
  <c r="B60" i="1" s="1"/>
  <c r="C60" i="1" s="1"/>
  <c r="T60" i="1" a="1"/>
  <c r="T60" i="1"/>
  <c r="U60" i="1"/>
  <c r="V60" i="1" s="1"/>
  <c r="W60" i="1"/>
  <c r="N60" i="1" a="1"/>
  <c r="O60" i="1" a="1"/>
  <c r="AF59" i="1" a="1"/>
  <c r="Q60" i="1" a="1"/>
  <c r="M60" i="1" a="1"/>
  <c r="AC60" i="1" a="1"/>
  <c r="J60" i="1" a="1"/>
  <c r="K60" i="1" a="1"/>
  <c r="L60" i="1" a="1"/>
  <c r="L60" i="1" l="1"/>
  <c r="K60" i="1"/>
  <c r="J60" i="1"/>
  <c r="M60" i="1"/>
  <c r="Q60" i="1"/>
  <c r="AF59" i="1"/>
  <c r="O60" i="1"/>
  <c r="N60" i="1"/>
  <c r="X60" i="1"/>
  <c r="AC60" i="1"/>
  <c r="Z60" i="1" a="1"/>
  <c r="AD60" i="1" a="1"/>
  <c r="Z60" i="1" l="1"/>
  <c r="AA60" i="1" s="1"/>
  <c r="AD60" i="1"/>
  <c r="AE60" i="1" a="1"/>
  <c r="AB60" i="1" l="1" a="1"/>
  <c r="AB60" i="1" s="1"/>
  <c r="AE60" i="1"/>
  <c r="B61" i="1" a="1"/>
  <c r="B61" i="1" s="1"/>
  <c r="C61" i="1" s="1"/>
  <c r="T61" i="1" a="1"/>
  <c r="T61" i="1" s="1"/>
  <c r="U61" i="1"/>
  <c r="V61" i="1" s="1"/>
  <c r="W61" i="1"/>
  <c r="N61" i="1" a="1"/>
  <c r="L61" i="1" a="1"/>
  <c r="O61" i="1" a="1"/>
  <c r="Q61" i="1" a="1"/>
  <c r="K61" i="1" a="1"/>
  <c r="AF60" i="1" a="1"/>
  <c r="J61" i="1" a="1"/>
  <c r="AC61" i="1" a="1"/>
  <c r="M61" i="1" a="1"/>
  <c r="M61" i="1" l="1"/>
  <c r="J61" i="1"/>
  <c r="AF60" i="1"/>
  <c r="K61" i="1"/>
  <c r="Q61" i="1"/>
  <c r="O61" i="1"/>
  <c r="L61" i="1"/>
  <c r="N61" i="1"/>
  <c r="X61" i="1"/>
  <c r="AC61" i="1"/>
  <c r="Z61" i="1" a="1"/>
  <c r="AD61" i="1" a="1"/>
  <c r="Z61" i="1" l="1"/>
  <c r="AA61" i="1" s="1"/>
  <c r="AD61" i="1"/>
  <c r="AE61" i="1" a="1"/>
  <c r="AB61" i="1" l="1" a="1"/>
  <c r="AB61" i="1" s="1"/>
  <c r="AE61" i="1"/>
  <c r="B62" i="1" a="1"/>
  <c r="B62" i="1" s="1"/>
  <c r="C62" i="1" s="1"/>
  <c r="T62" i="1" a="1"/>
  <c r="T62" i="1" s="1"/>
  <c r="U62" i="1"/>
  <c r="V62" i="1" s="1"/>
  <c r="W62" i="1"/>
  <c r="N62" i="1" a="1"/>
  <c r="K62" i="1" a="1"/>
  <c r="L62" i="1" a="1"/>
  <c r="M62" i="1" a="1"/>
  <c r="O62" i="1" a="1"/>
  <c r="AF61" i="1" a="1"/>
  <c r="Q62" i="1" a="1"/>
  <c r="J62" i="1" a="1"/>
  <c r="AC62" i="1" a="1"/>
  <c r="J62" i="1" l="1"/>
  <c r="Q62" i="1"/>
  <c r="AF61" i="1"/>
  <c r="O62" i="1"/>
  <c r="M62" i="1"/>
  <c r="L62" i="1"/>
  <c r="K62" i="1"/>
  <c r="N62" i="1"/>
  <c r="X62" i="1"/>
  <c r="AC62" i="1"/>
  <c r="Z62" i="1" a="1"/>
  <c r="AD62" i="1" a="1"/>
  <c r="Z62" i="1" l="1"/>
  <c r="AA62" i="1" s="1"/>
  <c r="AD62" i="1"/>
  <c r="AE62" i="1" a="1"/>
  <c r="AB62" i="1" l="1" a="1"/>
  <c r="AB62" i="1" s="1"/>
  <c r="AE62" i="1"/>
  <c r="B63" i="1" a="1"/>
  <c r="B63" i="1" s="1"/>
  <c r="C63" i="1" s="1"/>
  <c r="T63" i="1" a="1"/>
  <c r="T63" i="1" s="1"/>
  <c r="U63" i="1"/>
  <c r="V63" i="1" s="1"/>
  <c r="W63" i="1"/>
  <c r="M63" i="1" a="1"/>
  <c r="AC63" i="1" a="1"/>
  <c r="L63" i="1" a="1"/>
  <c r="N63" i="1" a="1"/>
  <c r="O63" i="1" a="1"/>
  <c r="K63" i="1" a="1"/>
  <c r="AF62" i="1" a="1"/>
  <c r="Q63" i="1" a="1"/>
  <c r="J63" i="1" a="1"/>
  <c r="J63" i="1" l="1"/>
  <c r="Q63" i="1"/>
  <c r="AF62" i="1"/>
  <c r="K63" i="1"/>
  <c r="O63" i="1"/>
  <c r="N63" i="1"/>
  <c r="L63" i="1"/>
  <c r="M63" i="1"/>
  <c r="X63" i="1"/>
  <c r="AC63" i="1"/>
  <c r="Z63" i="1" a="1"/>
  <c r="AD63" i="1" a="1"/>
  <c r="Z63" i="1" l="1"/>
  <c r="AA63" i="1" s="1"/>
  <c r="AD63" i="1"/>
  <c r="AE63" i="1" a="1"/>
  <c r="AB63" i="1" l="1" a="1"/>
  <c r="AB63" i="1" s="1"/>
  <c r="AE63" i="1"/>
  <c r="B64" i="1" a="1"/>
  <c r="B64" i="1" s="1"/>
  <c r="C64" i="1" s="1"/>
  <c r="T64" i="1" a="1"/>
  <c r="T64" i="1" s="1"/>
  <c r="U64" i="1"/>
  <c r="V64" i="1" s="1"/>
  <c r="W64" i="1"/>
  <c r="M64" i="1" a="1"/>
  <c r="K64" i="1" a="1"/>
  <c r="AC64" i="1" a="1"/>
  <c r="N64" i="1" a="1"/>
  <c r="O64" i="1" a="1"/>
  <c r="J64" i="1" a="1"/>
  <c r="AF63" i="1" a="1"/>
  <c r="Q64" i="1" a="1"/>
  <c r="L64" i="1" a="1"/>
  <c r="L64" i="1" l="1"/>
  <c r="Q64" i="1"/>
  <c r="AF63" i="1"/>
  <c r="J64" i="1"/>
  <c r="O64" i="1"/>
  <c r="N64" i="1"/>
  <c r="K64" i="1"/>
  <c r="M64" i="1"/>
  <c r="X64" i="1"/>
  <c r="AC64" i="1"/>
  <c r="AD64" i="1" a="1"/>
  <c r="Z64" i="1" a="1"/>
  <c r="Z64" i="1" l="1"/>
  <c r="AB64" i="1" s="1" a="1"/>
  <c r="AB64" i="1" s="1"/>
  <c r="AD64" i="1"/>
  <c r="AA64" i="1" l="1"/>
  <c r="AE64" i="1" a="1"/>
  <c r="AF64" i="1" a="1"/>
  <c r="AE64" i="1" l="1"/>
  <c r="AF64" i="1"/>
  <c r="B65" i="1" a="1"/>
  <c r="B65" i="1" s="1"/>
  <c r="C65" i="1" s="1"/>
  <c r="T65" i="1" a="1"/>
  <c r="T65" i="1" s="1"/>
  <c r="U65" i="1"/>
  <c r="V65" i="1" s="1"/>
  <c r="W65" i="1"/>
  <c r="O65" i="1" a="1"/>
  <c r="Q65" i="1" a="1"/>
  <c r="K65" i="1" a="1"/>
  <c r="J65" i="1" a="1"/>
  <c r="L65" i="1" a="1"/>
  <c r="AC65" i="1" a="1"/>
  <c r="M65" i="1" a="1"/>
  <c r="N65" i="1" a="1"/>
  <c r="N65" i="1" l="1"/>
  <c r="M65" i="1"/>
  <c r="L65" i="1"/>
  <c r="J65" i="1"/>
  <c r="K65" i="1"/>
  <c r="Q65" i="1"/>
  <c r="O65" i="1"/>
  <c r="X65" i="1"/>
  <c r="AC65" i="1"/>
  <c r="Z65" i="1" a="1"/>
  <c r="AD65" i="1" a="1"/>
  <c r="Z65" i="1" l="1"/>
  <c r="AB65" i="1" s="1" a="1"/>
  <c r="AB65" i="1" s="1"/>
  <c r="AD65" i="1"/>
  <c r="AA65" i="1" l="1"/>
  <c r="AE65" i="1" a="1"/>
  <c r="AF65" i="1" a="1"/>
  <c r="AE65" i="1" l="1"/>
  <c r="AF65" i="1"/>
  <c r="B66" i="1" a="1"/>
  <c r="B66" i="1" s="1"/>
  <c r="C66" i="1" s="1"/>
  <c r="T66" i="1" a="1"/>
  <c r="T66" i="1"/>
  <c r="P2" i="1" s="1"/>
  <c r="U66" i="1"/>
  <c r="V66" i="1" s="1"/>
  <c r="W66" i="1"/>
  <c r="O66" i="1" a="1"/>
  <c r="Q66" i="1" a="1"/>
  <c r="AC66" i="1" a="1"/>
  <c r="J66" i="1" a="1"/>
  <c r="L66" i="1" a="1"/>
  <c r="K66" i="1" a="1"/>
  <c r="M66" i="1" a="1"/>
  <c r="N66" i="1" a="1"/>
  <c r="N66" i="1" l="1"/>
  <c r="M66" i="1"/>
  <c r="K66" i="1"/>
  <c r="L66" i="1"/>
  <c r="J66" i="1"/>
  <c r="Q66" i="1"/>
  <c r="O66" i="1"/>
  <c r="X66" i="1"/>
  <c r="AC66" i="1"/>
  <c r="AD66" i="1" a="1"/>
  <c r="Z66" i="1" a="1"/>
  <c r="Z66" i="1" l="1"/>
  <c r="P3" i="1" s="1"/>
  <c r="AD66" i="1"/>
  <c r="R59" i="1" a="1"/>
  <c r="R54" i="1" a="1"/>
  <c r="R44" i="1" a="1"/>
  <c r="J8" i="1" a="1"/>
  <c r="R45" i="1" a="1"/>
  <c r="R53" i="1" a="1"/>
  <c r="R41" i="1" a="1"/>
  <c r="J4" i="1" a="1"/>
  <c r="R52" i="1" a="1"/>
  <c r="P4" i="1" a="1"/>
  <c r="R49" i="1" a="1"/>
  <c r="R39" i="1" a="1"/>
  <c r="R48" i="1" a="1"/>
  <c r="R38" i="1" a="1"/>
  <c r="R60" i="1" a="1"/>
  <c r="R46" i="1" a="1"/>
  <c r="R65" i="1" a="1"/>
  <c r="R40" i="1" a="1"/>
  <c r="R61" i="1" a="1"/>
  <c r="R47" i="1" a="1"/>
  <c r="R36" i="1" a="1"/>
  <c r="R62" i="1" a="1"/>
  <c r="R37" i="1" a="1"/>
  <c r="R33" i="1" a="1"/>
  <c r="R57" i="1" a="1"/>
  <c r="R55" i="1" a="1"/>
  <c r="AB66" i="1" l="1" a="1"/>
  <c r="AB66" i="1" s="1"/>
  <c r="AA66" i="1"/>
  <c r="P4" i="1"/>
  <c r="J4" i="1"/>
  <c r="J8" i="1"/>
  <c r="R33" i="1"/>
  <c r="R36" i="1"/>
  <c r="R37" i="1"/>
  <c r="R38" i="1"/>
  <c r="R39" i="1"/>
  <c r="R40" i="1"/>
  <c r="R41" i="1"/>
  <c r="R44" i="1"/>
  <c r="R45" i="1"/>
  <c r="R46" i="1"/>
  <c r="R47" i="1"/>
  <c r="R48" i="1"/>
  <c r="R49" i="1"/>
  <c r="R52" i="1"/>
  <c r="R53" i="1"/>
  <c r="R54" i="1"/>
  <c r="R55" i="1"/>
  <c r="R57" i="1"/>
  <c r="R59" i="1"/>
  <c r="R60" i="1"/>
  <c r="R61" i="1"/>
  <c r="R62" i="1"/>
  <c r="R65" i="1"/>
  <c r="R63" i="1" a="1"/>
  <c r="R35" i="1" a="1"/>
  <c r="R42" i="1" a="1"/>
  <c r="AF66" i="1" a="1"/>
  <c r="R56" i="1" a="1"/>
  <c r="R43" i="1" a="1"/>
  <c r="AE66" i="1" a="1"/>
  <c r="R64" i="1" a="1"/>
  <c r="R51" i="1" a="1"/>
  <c r="R34" i="1" a="1"/>
  <c r="R50" i="1" a="1"/>
  <c r="R58" i="1" a="1"/>
  <c r="R66" i="1" a="1"/>
  <c r="R66" i="1" l="1"/>
  <c r="R58" i="1"/>
  <c r="R50" i="1"/>
  <c r="R34" i="1"/>
  <c r="R51" i="1"/>
  <c r="R64" i="1"/>
  <c r="R43" i="1"/>
  <c r="R56" i="1"/>
  <c r="R42" i="1"/>
  <c r="R35" i="1"/>
  <c r="R63" i="1"/>
  <c r="AE66" i="1"/>
  <c r="AF66" i="1"/>
  <c r="B67" i="1" a="1"/>
  <c r="B67" i="1" s="1"/>
  <c r="C67" i="1" s="1"/>
  <c r="B68" i="1" a="1"/>
  <c r="B68" i="1" s="1"/>
  <c r="C68" i="1" s="1"/>
  <c r="B69" i="1" a="1"/>
  <c r="B69" i="1" s="1"/>
  <c r="C69" i="1" s="1"/>
  <c r="B70" i="1" a="1"/>
  <c r="B70" i="1" s="1"/>
  <c r="C70" i="1" s="1"/>
  <c r="B71" i="1" a="1"/>
  <c r="B71" i="1" s="1"/>
  <c r="C71" i="1" s="1"/>
  <c r="B72" i="1" a="1"/>
  <c r="B72" i="1" s="1"/>
  <c r="C72" i="1" s="1"/>
  <c r="B73" i="1" a="1"/>
  <c r="B73" i="1" s="1"/>
  <c r="C73" i="1" s="1"/>
  <c r="B74" i="1" a="1"/>
  <c r="B74" i="1" s="1"/>
  <c r="C74" i="1" s="1"/>
  <c r="B75" i="1" a="1"/>
  <c r="B75" i="1" s="1"/>
  <c r="C75" i="1" s="1"/>
  <c r="B76" i="1" a="1"/>
  <c r="B76" i="1" s="1"/>
  <c r="C76" i="1" s="1"/>
  <c r="B77" i="1" a="1"/>
  <c r="B77" i="1" s="1"/>
  <c r="C77" i="1" s="1"/>
  <c r="B78" i="1" a="1"/>
  <c r="B78" i="1" s="1"/>
  <c r="C78" i="1" s="1"/>
  <c r="B79" i="1" a="1"/>
  <c r="B79" i="1" s="1"/>
  <c r="C79" i="1" s="1"/>
  <c r="B80" i="1" a="1"/>
  <c r="B80" i="1" s="1"/>
  <c r="C80" i="1" s="1"/>
  <c r="B81" i="1" a="1"/>
  <c r="B81" i="1" s="1"/>
  <c r="C81" i="1" s="1"/>
  <c r="B82" i="1" a="1"/>
  <c r="B82" i="1" s="1"/>
  <c r="C82" i="1" s="1"/>
  <c r="B83" i="1" a="1"/>
  <c r="B83" i="1" s="1"/>
  <c r="C83" i="1" s="1"/>
  <c r="B84" i="1" a="1"/>
  <c r="B84" i="1" s="1"/>
  <c r="C84" i="1" s="1"/>
  <c r="B85" i="1" a="1"/>
  <c r="B85" i="1" s="1"/>
  <c r="C85" i="1" s="1"/>
  <c r="B86" i="1" a="1"/>
  <c r="B86" i="1" s="1"/>
  <c r="C86" i="1" s="1"/>
  <c r="B87" i="1" a="1"/>
  <c r="B87" i="1" s="1"/>
  <c r="C87" i="1" s="1"/>
  <c r="B88" i="1" a="1"/>
  <c r="B88" i="1" s="1"/>
  <c r="C88" i="1" s="1"/>
  <c r="B89" i="1" a="1"/>
  <c r="B89" i="1" s="1"/>
  <c r="C89" i="1" s="1"/>
  <c r="B90" i="1" a="1"/>
  <c r="B90" i="1" s="1"/>
  <c r="C90" i="1" s="1"/>
  <c r="B91" i="1" a="1"/>
  <c r="B91" i="1" s="1"/>
  <c r="C91" i="1" s="1"/>
  <c r="B92" i="1" a="1"/>
  <c r="B92" i="1" s="1"/>
  <c r="C92" i="1" s="1"/>
  <c r="B93" i="1" a="1"/>
  <c r="B93" i="1" s="1"/>
  <c r="C93" i="1" s="1"/>
  <c r="B94" i="1" a="1"/>
  <c r="B94" i="1" s="1"/>
  <c r="C94" i="1" s="1"/>
  <c r="B95" i="1" a="1"/>
  <c r="B95" i="1" s="1"/>
  <c r="C95" i="1" s="1"/>
  <c r="B96" i="1" a="1"/>
  <c r="B96" i="1" s="1"/>
  <c r="C96" i="1" s="1"/>
  <c r="B97" i="1" a="1"/>
  <c r="B97" i="1" s="1"/>
  <c r="C97" i="1" s="1"/>
  <c r="B98" i="1" a="1"/>
  <c r="B98" i="1" s="1"/>
  <c r="C98" i="1" s="1"/>
  <c r="B99" i="1" a="1"/>
  <c r="B99" i="1" s="1"/>
  <c r="C99" i="1" s="1"/>
  <c r="B100" i="1" a="1"/>
  <c r="B100" i="1" s="1"/>
  <c r="C100" i="1" s="1"/>
  <c r="B101" i="1" a="1"/>
  <c r="B101" i="1" s="1"/>
  <c r="C101" i="1" s="1"/>
  <c r="B102" i="1" a="1"/>
  <c r="B102" i="1" s="1"/>
  <c r="C102" i="1" s="1"/>
  <c r="B103" i="1" a="1"/>
  <c r="B103" i="1" s="1"/>
  <c r="C103" i="1" s="1"/>
  <c r="B104" i="1" a="1"/>
  <c r="B104" i="1" s="1"/>
  <c r="C104" i="1" s="1"/>
  <c r="B105" i="1" a="1"/>
  <c r="B105" i="1" s="1"/>
  <c r="C105" i="1" s="1"/>
  <c r="B106" i="1" a="1"/>
  <c r="B106" i="1" s="1"/>
  <c r="C106" i="1" s="1"/>
  <c r="B107" i="1" a="1"/>
  <c r="B107" i="1" s="1"/>
  <c r="C107" i="1" s="1"/>
  <c r="B108" i="1" a="1"/>
  <c r="B108" i="1" s="1"/>
  <c r="C108" i="1" s="1"/>
  <c r="B109" i="1" a="1"/>
  <c r="B109" i="1" s="1"/>
  <c r="C109" i="1" s="1"/>
  <c r="B110" i="1" a="1"/>
  <c r="B110" i="1" s="1"/>
  <c r="C110" i="1" s="1"/>
  <c r="B111" i="1" a="1"/>
  <c r="B111" i="1" s="1"/>
  <c r="C111" i="1" s="1"/>
  <c r="B112" i="1" a="1"/>
  <c r="B112" i="1" s="1"/>
  <c r="C112" i="1" s="1"/>
  <c r="B113" i="1" a="1"/>
  <c r="B113" i="1" s="1"/>
  <c r="C113" i="1" s="1"/>
  <c r="B114" i="1" a="1"/>
  <c r="B114" i="1" s="1"/>
  <c r="C114" i="1" s="1"/>
  <c r="B115" i="1" a="1"/>
  <c r="B115" i="1" s="1"/>
  <c r="C115" i="1" s="1"/>
  <c r="B116" i="1" a="1"/>
  <c r="B116" i="1" s="1"/>
  <c r="C116" i="1" s="1"/>
  <c r="B117" i="1" a="1"/>
  <c r="B117" i="1" s="1"/>
  <c r="C117" i="1" s="1"/>
  <c r="B118" i="1" a="1"/>
  <c r="B118" i="1" s="1"/>
  <c r="C118" i="1" s="1"/>
  <c r="B119" i="1" a="1"/>
  <c r="B119" i="1" s="1"/>
  <c r="C119" i="1" s="1"/>
  <c r="B120" i="1" a="1"/>
  <c r="B120" i="1" s="1"/>
  <c r="C120" i="1" s="1"/>
  <c r="B121" i="1" a="1"/>
  <c r="B121" i="1" s="1"/>
  <c r="C121" i="1" s="1"/>
  <c r="B122" i="1" a="1"/>
  <c r="B122" i="1" s="1"/>
  <c r="C122" i="1" s="1"/>
  <c r="B123" i="1" a="1"/>
  <c r="B123" i="1" s="1"/>
  <c r="C123" i="1" s="1"/>
  <c r="B124" i="1" a="1"/>
  <c r="B124" i="1" s="1"/>
  <c r="C124" i="1" s="1"/>
  <c r="B125" i="1" a="1"/>
  <c r="B125" i="1"/>
  <c r="C125" i="1"/>
  <c r="B126" i="1" a="1"/>
  <c r="B126" i="1" s="1"/>
  <c r="C126" i="1" s="1"/>
  <c r="B127" i="1" a="1"/>
  <c r="B127" i="1" s="1"/>
  <c r="C127" i="1" s="1"/>
  <c r="B128" i="1" a="1"/>
  <c r="B128" i="1" s="1"/>
  <c r="C128" i="1" s="1"/>
  <c r="B129" i="1" a="1"/>
  <c r="B129" i="1" s="1"/>
  <c r="C129" i="1" s="1"/>
  <c r="B130" i="1" a="1"/>
  <c r="B130" i="1" s="1"/>
  <c r="C130" i="1" s="1"/>
  <c r="B131" i="1" a="1"/>
  <c r="B131" i="1" s="1"/>
  <c r="C131" i="1" s="1"/>
  <c r="B132" i="1" a="1"/>
  <c r="B132" i="1" s="1"/>
  <c r="C132" i="1" s="1"/>
  <c r="B133" i="1" a="1"/>
  <c r="B133" i="1" s="1"/>
  <c r="C133" i="1" s="1"/>
  <c r="B134" i="1" a="1"/>
  <c r="B134" i="1" s="1"/>
  <c r="C134" i="1" s="1"/>
  <c r="B135" i="1" a="1"/>
  <c r="B135" i="1" s="1"/>
  <c r="C135" i="1" s="1"/>
  <c r="B136" i="1" a="1"/>
  <c r="B136" i="1" s="1"/>
  <c r="C136" i="1" s="1"/>
  <c r="B137" i="1" a="1"/>
  <c r="B137" i="1"/>
  <c r="C137" i="1"/>
  <c r="B138" i="1" a="1"/>
  <c r="B138" i="1" s="1"/>
  <c r="C138" i="1" s="1"/>
  <c r="B139" i="1" a="1"/>
  <c r="B139" i="1" s="1"/>
  <c r="C139" i="1" s="1"/>
  <c r="B140" i="1" a="1"/>
  <c r="B140" i="1" s="1"/>
  <c r="C140" i="1" s="1"/>
  <c r="B141" i="1" a="1"/>
  <c r="B141" i="1" s="1"/>
  <c r="C141" i="1" s="1"/>
  <c r="B142" i="1" a="1"/>
  <c r="B142" i="1" s="1"/>
  <c r="C142" i="1" s="1"/>
  <c r="B143" i="1" a="1"/>
  <c r="B143" i="1" s="1"/>
  <c r="C143" i="1" s="1"/>
  <c r="B144" i="1" a="1"/>
  <c r="B144" i="1" s="1"/>
  <c r="C144" i="1" s="1"/>
  <c r="B145" i="1" a="1"/>
  <c r="B145" i="1" s="1"/>
  <c r="C145" i="1" s="1"/>
  <c r="B146" i="1" a="1"/>
  <c r="B146" i="1" s="1"/>
  <c r="C146" i="1" s="1"/>
  <c r="B147" i="1" a="1"/>
  <c r="B147" i="1" s="1"/>
  <c r="C147" i="1" s="1"/>
  <c r="B148" i="1" a="1"/>
  <c r="B148" i="1" s="1"/>
  <c r="C148" i="1" s="1"/>
  <c r="B149" i="1" a="1"/>
  <c r="B149" i="1" s="1"/>
  <c r="C149" i="1" s="1"/>
  <c r="B150" i="1" a="1"/>
  <c r="B150" i="1" s="1"/>
  <c r="C150" i="1" s="1"/>
  <c r="B151" i="1" a="1"/>
  <c r="B151" i="1" s="1"/>
  <c r="C151" i="1" s="1"/>
  <c r="B152" i="1" a="1"/>
  <c r="B152" i="1" s="1"/>
  <c r="C152" i="1" s="1"/>
  <c r="B153" i="1" a="1"/>
  <c r="B153" i="1" s="1"/>
  <c r="C153" i="1" s="1"/>
  <c r="B154" i="1" a="1"/>
  <c r="B154" i="1" s="1"/>
  <c r="C154" i="1" s="1"/>
  <c r="B155" i="1" a="1"/>
  <c r="B155" i="1" s="1"/>
  <c r="C155" i="1" s="1"/>
  <c r="B156" i="1" a="1"/>
  <c r="B156" i="1" s="1"/>
  <c r="C156" i="1" s="1"/>
  <c r="B157" i="1" a="1"/>
  <c r="B157" i="1" s="1"/>
  <c r="C157" i="1" s="1"/>
  <c r="B158" i="1" a="1"/>
  <c r="B158" i="1" s="1"/>
  <c r="C158" i="1" s="1"/>
  <c r="B159" i="1" a="1"/>
  <c r="B159" i="1" s="1"/>
  <c r="C159" i="1" s="1"/>
  <c r="B160" i="1" a="1"/>
  <c r="B160" i="1" s="1"/>
  <c r="C160" i="1" s="1"/>
  <c r="B161" i="1" a="1"/>
  <c r="B161" i="1" s="1"/>
  <c r="C161" i="1" s="1"/>
  <c r="B162" i="1" a="1"/>
  <c r="B162" i="1" s="1"/>
  <c r="C162" i="1" s="1"/>
  <c r="B163" i="1" a="1"/>
  <c r="B163" i="1" s="1"/>
  <c r="C163" i="1" s="1"/>
  <c r="B164" i="1" a="1"/>
  <c r="B164" i="1" s="1"/>
  <c r="C164" i="1" s="1"/>
  <c r="B165" i="1" a="1"/>
  <c r="B165" i="1" s="1"/>
  <c r="C165" i="1" s="1"/>
  <c r="B166" i="1" a="1"/>
  <c r="B166" i="1" s="1"/>
  <c r="C166" i="1" s="1"/>
  <c r="B167" i="1" a="1"/>
  <c r="B167" i="1" s="1"/>
  <c r="C167" i="1" s="1"/>
  <c r="B168" i="1" a="1"/>
  <c r="B168" i="1" s="1"/>
  <c r="C168" i="1" s="1"/>
  <c r="B169" i="1" a="1"/>
  <c r="B169" i="1" s="1"/>
  <c r="C169" i="1" s="1"/>
  <c r="B170" i="1" a="1"/>
  <c r="B170" i="1" s="1"/>
  <c r="C170" i="1" s="1"/>
  <c r="B171" i="1" a="1"/>
  <c r="B171" i="1" s="1"/>
  <c r="C171" i="1" s="1"/>
  <c r="B172" i="1" a="1"/>
  <c r="B172" i="1" s="1"/>
  <c r="C172" i="1" s="1"/>
  <c r="B173" i="1" a="1"/>
  <c r="B173" i="1" s="1"/>
  <c r="C173" i="1" s="1"/>
  <c r="B174" i="1" a="1"/>
  <c r="B174" i="1" s="1"/>
  <c r="C174" i="1" s="1"/>
  <c r="B175" i="1" a="1"/>
  <c r="B175" i="1" s="1"/>
  <c r="C175" i="1" s="1"/>
  <c r="B176" i="1" a="1"/>
  <c r="B176" i="1" s="1"/>
  <c r="C176" i="1" s="1"/>
  <c r="B177" i="1" a="1"/>
  <c r="B177" i="1" s="1"/>
  <c r="C177" i="1" s="1"/>
  <c r="B178" i="1" a="1"/>
  <c r="B178" i="1" s="1"/>
  <c r="C178" i="1" s="1"/>
  <c r="B179" i="1" a="1"/>
  <c r="B179" i="1" s="1"/>
  <c r="C179" i="1" s="1"/>
  <c r="B180" i="1" a="1"/>
  <c r="B180" i="1" s="1"/>
  <c r="C180" i="1" s="1"/>
  <c r="B181" i="1" a="1"/>
  <c r="B181" i="1" s="1"/>
  <c r="C181" i="1" s="1"/>
  <c r="B182" i="1" a="1"/>
  <c r="B182" i="1" s="1"/>
  <c r="C182" i="1" s="1"/>
  <c r="B183" i="1" a="1"/>
  <c r="B183" i="1" s="1"/>
  <c r="C183" i="1" s="1"/>
  <c r="B184" i="1" a="1"/>
  <c r="B184" i="1" s="1"/>
  <c r="C184" i="1" s="1"/>
  <c r="B185" i="1" a="1"/>
  <c r="B185" i="1" s="1"/>
  <c r="C185" i="1" s="1"/>
  <c r="B186" i="1" a="1"/>
  <c r="B186" i="1" s="1"/>
  <c r="C186" i="1" s="1"/>
  <c r="B187" i="1" a="1"/>
  <c r="B187" i="1" s="1"/>
  <c r="C187" i="1" s="1"/>
  <c r="B188" i="1" a="1"/>
  <c r="B188" i="1" s="1"/>
  <c r="C188" i="1" s="1"/>
  <c r="B189" i="1" a="1"/>
  <c r="B189" i="1" s="1"/>
  <c r="C189" i="1" s="1"/>
  <c r="B190" i="1" a="1"/>
  <c r="B190" i="1" s="1"/>
  <c r="C190" i="1" s="1"/>
  <c r="B191" i="1" a="1"/>
  <c r="B191" i="1" s="1"/>
  <c r="C191" i="1" s="1"/>
  <c r="B192" i="1" a="1"/>
  <c r="B192" i="1"/>
  <c r="C192" i="1"/>
  <c r="B193" i="1" a="1"/>
  <c r="B193" i="1" s="1"/>
  <c r="C193" i="1" s="1"/>
  <c r="B194" i="1" a="1"/>
  <c r="B194" i="1" s="1"/>
  <c r="C194" i="1" s="1"/>
  <c r="B195" i="1" a="1"/>
  <c r="B195" i="1" s="1"/>
  <c r="C195" i="1" s="1"/>
  <c r="B196" i="1" a="1"/>
  <c r="B196" i="1" s="1"/>
  <c r="C196" i="1" s="1"/>
  <c r="B197" i="1" a="1"/>
  <c r="B197" i="1" s="1"/>
  <c r="C197" i="1" s="1"/>
  <c r="B198" i="1" a="1"/>
  <c r="B198" i="1" s="1"/>
  <c r="C198" i="1" s="1"/>
  <c r="B199" i="1" a="1"/>
  <c r="B199" i="1" s="1"/>
  <c r="C199" i="1" s="1"/>
  <c r="B200" i="1" a="1"/>
  <c r="B200" i="1" s="1"/>
  <c r="C200" i="1" s="1"/>
  <c r="B201" i="1" a="1"/>
  <c r="B201" i="1" s="1"/>
  <c r="C201" i="1" s="1"/>
  <c r="B202" i="1" a="1"/>
  <c r="B202" i="1" s="1"/>
  <c r="C202" i="1" s="1"/>
  <c r="B203" i="1" a="1"/>
  <c r="B203" i="1" s="1"/>
  <c r="C203" i="1" s="1"/>
  <c r="B204" i="1" a="1"/>
  <c r="B204" i="1" s="1"/>
  <c r="C204" i="1" s="1"/>
  <c r="B205" i="1" a="1"/>
  <c r="B205" i="1" s="1"/>
  <c r="C205" i="1" s="1"/>
  <c r="B206" i="1" a="1"/>
  <c r="B206" i="1" s="1"/>
  <c r="C206" i="1" s="1"/>
  <c r="B207" i="1" a="1"/>
  <c r="B207" i="1" s="1"/>
  <c r="C207" i="1" s="1"/>
  <c r="B208" i="1" a="1"/>
  <c r="B208" i="1" s="1"/>
  <c r="C208" i="1" s="1"/>
  <c r="B209" i="1" a="1"/>
  <c r="B209" i="1" s="1"/>
  <c r="C209" i="1" s="1"/>
  <c r="B210" i="1" a="1"/>
  <c r="B210" i="1" s="1"/>
  <c r="C210" i="1" s="1"/>
  <c r="B211" i="1" a="1"/>
  <c r="B211" i="1" s="1"/>
  <c r="C211" i="1" s="1"/>
  <c r="B212" i="1" a="1"/>
  <c r="B212" i="1" s="1"/>
  <c r="C212" i="1" s="1"/>
  <c r="B213" i="1" a="1"/>
  <c r="B213" i="1"/>
  <c r="C213" i="1"/>
  <c r="B214" i="1" a="1"/>
  <c r="B214" i="1" s="1"/>
  <c r="C214" i="1" s="1"/>
  <c r="B215" i="1" a="1"/>
  <c r="B215" i="1" s="1"/>
  <c r="C215" i="1" s="1"/>
  <c r="B216" i="1" a="1"/>
  <c r="B216" i="1" s="1"/>
  <c r="C216" i="1" s="1"/>
  <c r="B217" i="1" a="1"/>
  <c r="B217" i="1" s="1"/>
  <c r="C217" i="1" s="1"/>
  <c r="B218" i="1" a="1"/>
  <c r="B218" i="1" s="1"/>
  <c r="C218" i="1" s="1"/>
  <c r="B219" i="1" a="1"/>
  <c r="B219" i="1" s="1"/>
  <c r="C219" i="1" s="1"/>
  <c r="B220" i="1" a="1"/>
  <c r="B220" i="1" s="1"/>
  <c r="C220" i="1" s="1"/>
  <c r="B221" i="1" a="1"/>
  <c r="B221" i="1" s="1"/>
  <c r="C221" i="1" s="1"/>
  <c r="B222" i="1" a="1"/>
  <c r="B222" i="1" s="1"/>
  <c r="C222" i="1" s="1"/>
  <c r="B223" i="1" a="1"/>
  <c r="B223" i="1" s="1"/>
  <c r="C223" i="1" s="1"/>
  <c r="B224" i="1" a="1"/>
  <c r="B224" i="1" s="1"/>
  <c r="C224" i="1" s="1"/>
  <c r="B225" i="1" a="1"/>
  <c r="B225" i="1" s="1"/>
  <c r="C225" i="1" s="1"/>
  <c r="B226" i="1" a="1"/>
  <c r="B226" i="1" s="1"/>
  <c r="C226" i="1" s="1"/>
  <c r="B227" i="1" a="1"/>
  <c r="B227" i="1" s="1"/>
  <c r="C227" i="1" s="1"/>
  <c r="B228" i="1" a="1"/>
  <c r="B228" i="1" s="1"/>
  <c r="C228" i="1" s="1"/>
  <c r="B229" i="1" a="1"/>
  <c r="B229" i="1" s="1"/>
  <c r="C229" i="1" s="1"/>
  <c r="B230" i="1" a="1"/>
  <c r="B230" i="1" s="1"/>
  <c r="C230" i="1" s="1"/>
  <c r="B231" i="1" a="1"/>
  <c r="B231" i="1" s="1"/>
  <c r="C231" i="1" s="1"/>
  <c r="B232" i="1" a="1"/>
  <c r="B232" i="1" s="1"/>
  <c r="C232" i="1" s="1"/>
  <c r="Q68" i="1" a="1"/>
  <c r="M69" i="1" a="1"/>
  <c r="K70" i="1" a="1"/>
  <c r="J71" i="1" a="1"/>
  <c r="R71" i="1" a="1"/>
  <c r="O72" i="1" a="1"/>
  <c r="M73" i="1" a="1"/>
  <c r="R74" i="1" a="1"/>
  <c r="O75" i="1" a="1"/>
  <c r="M76" i="1" a="1"/>
  <c r="K77" i="1" a="1"/>
  <c r="Q78" i="1" a="1"/>
  <c r="N79" i="1" a="1"/>
  <c r="M80" i="1" a="1"/>
  <c r="L81" i="1" a="1"/>
  <c r="J82" i="1" a="1"/>
  <c r="Q83" i="1" a="1"/>
  <c r="M84" i="1" a="1"/>
  <c r="K85" i="1" a="1"/>
  <c r="Q86" i="1" a="1"/>
  <c r="N87" i="1" a="1"/>
  <c r="M88" i="1" a="1"/>
  <c r="L89" i="1" a="1"/>
  <c r="J90" i="1" a="1"/>
  <c r="M91" i="1" a="1"/>
  <c r="K92" i="1" a="1"/>
  <c r="J93" i="1" a="1"/>
  <c r="L95" i="1" a="1"/>
  <c r="J96" i="1" a="1"/>
  <c r="Q96" i="1" a="1"/>
  <c r="M97" i="1" a="1"/>
  <c r="K98" i="1" a="1"/>
  <c r="J99" i="1" a="1"/>
  <c r="R99" i="1" a="1"/>
  <c r="N100" i="1" a="1"/>
  <c r="K101" i="1" a="1"/>
  <c r="O102" i="1" a="1"/>
  <c r="L104" i="1" a="1"/>
  <c r="R104" i="1" a="1"/>
  <c r="N105" i="1" a="1"/>
  <c r="L106" i="1" a="1"/>
  <c r="R106" i="1" a="1"/>
  <c r="O107" i="1" a="1"/>
  <c r="L108" i="1" a="1"/>
  <c r="Q109" i="1" a="1"/>
  <c r="N110" i="1" a="1"/>
  <c r="L111" i="1" a="1"/>
  <c r="N113" i="1" a="1"/>
  <c r="L114" i="1" a="1"/>
  <c r="J115" i="1" a="1"/>
  <c r="N116" i="1" a="1"/>
  <c r="K117" i="1" a="1"/>
  <c r="R118" i="1" a="1"/>
  <c r="N119" i="1" a="1"/>
  <c r="L120" i="1" a="1"/>
  <c r="J121" i="1" a="1"/>
  <c r="N122" i="1" a="1"/>
  <c r="J124" i="1" a="1"/>
  <c r="R124" i="1" a="1"/>
  <c r="R126" i="1" a="1"/>
  <c r="N127" i="1" a="1"/>
  <c r="Q129" i="1" a="1"/>
  <c r="N130" i="1" a="1"/>
  <c r="K131" i="1" a="1"/>
  <c r="O134" i="1" a="1"/>
  <c r="M135" i="1" a="1"/>
  <c r="R136" i="1" a="1"/>
  <c r="N137" i="1" a="1"/>
  <c r="M138" i="1" a="1"/>
  <c r="J139" i="1" a="1"/>
  <c r="R139" i="1" a="1"/>
  <c r="O140" i="1" a="1"/>
  <c r="N141" i="1" a="1"/>
  <c r="K143" i="1" a="1"/>
  <c r="R143" i="1" a="1"/>
  <c r="N144" i="1" a="1"/>
  <c r="M145" i="1" a="1"/>
  <c r="K146" i="1" a="1"/>
  <c r="N148" i="1" a="1"/>
  <c r="K149" i="1" a="1"/>
  <c r="R149" i="1" a="1"/>
  <c r="Q150" i="1" a="1"/>
  <c r="N151" i="1" a="1"/>
  <c r="L152" i="1" a="1"/>
  <c r="J153" i="1" a="1"/>
  <c r="N153" i="1" a="1"/>
  <c r="L154" i="1" a="1"/>
  <c r="J155" i="1" a="1"/>
  <c r="N156" i="1" a="1"/>
  <c r="K157" i="1" a="1"/>
  <c r="O157" i="1" a="1"/>
  <c r="L158" i="1" a="1"/>
  <c r="J159" i="1" a="1"/>
  <c r="R159" i="1" a="1"/>
  <c r="L67" i="1" a="1"/>
  <c r="J68" i="1" a="1"/>
  <c r="N69" i="1" a="1"/>
  <c r="L70" i="1" a="1"/>
  <c r="K71" i="1" a="1"/>
  <c r="Q72" i="1" a="1"/>
  <c r="N73" i="1" a="1"/>
  <c r="K74" i="1" a="1"/>
  <c r="Q75" i="1" a="1"/>
  <c r="N76" i="1" a="1"/>
  <c r="L77" i="1" a="1"/>
  <c r="J78" i="1" a="1"/>
  <c r="R78" i="1" a="1"/>
  <c r="O79" i="1" a="1"/>
  <c r="N80" i="1" a="1"/>
  <c r="K82" i="1" a="1"/>
  <c r="J83" i="1" a="1"/>
  <c r="R83" i="1" a="1"/>
  <c r="N84" i="1" a="1"/>
  <c r="L85" i="1" a="1"/>
  <c r="J86" i="1" a="1"/>
  <c r="R86" i="1" a="1"/>
  <c r="O87" i="1" a="1"/>
  <c r="N88" i="1" a="1"/>
  <c r="K90" i="1" a="1"/>
  <c r="Q90" i="1" a="1"/>
  <c r="N91" i="1" a="1"/>
  <c r="L92" i="1" a="1"/>
  <c r="K93" i="1" a="1"/>
  <c r="R93" i="1" a="1"/>
  <c r="N94" i="1" a="1"/>
  <c r="M95" i="1" a="1"/>
  <c r="K96" i="1" a="1"/>
  <c r="N97" i="1" a="1"/>
  <c r="L98" i="1" a="1"/>
  <c r="K99" i="1" a="1"/>
  <c r="L101" i="1" a="1"/>
  <c r="J102" i="1" a="1"/>
  <c r="Q102" i="1" a="1"/>
  <c r="N103" i="1" a="1"/>
  <c r="O105" i="1" a="1"/>
  <c r="Q107" i="1" a="1"/>
  <c r="M108" i="1" a="1"/>
  <c r="J109" i="1" a="1"/>
  <c r="R109" i="1" a="1"/>
  <c r="O110" i="1" a="1"/>
  <c r="M111" i="1" a="1"/>
  <c r="J112" i="1" a="1"/>
  <c r="R112" i="1" a="1"/>
  <c r="O113" i="1" a="1"/>
  <c r="M114" i="1" a="1"/>
  <c r="Q115" i="1" a="1"/>
  <c r="L117" i="1" a="1"/>
  <c r="J118" i="1" a="1"/>
  <c r="O119" i="1" a="1"/>
  <c r="M120" i="1" a="1"/>
  <c r="K121" i="1" a="1"/>
  <c r="R121" i="1" a="1"/>
  <c r="O122" i="1" a="1"/>
  <c r="L123" i="1" a="1"/>
  <c r="K124" i="1" a="1"/>
  <c r="N125" i="1" a="1"/>
  <c r="K126" i="1" a="1"/>
  <c r="O127" i="1" a="1"/>
  <c r="L128" i="1" a="1"/>
  <c r="J129" i="1" a="1"/>
  <c r="R129" i="1" a="1"/>
  <c r="L131" i="1" a="1"/>
  <c r="J132" i="1" a="1"/>
  <c r="O132" i="1" a="1"/>
  <c r="L133" i="1" a="1"/>
  <c r="J134" i="1" a="1"/>
  <c r="Q134" i="1" a="1"/>
  <c r="N135" i="1" a="1"/>
  <c r="L136" i="1" a="1"/>
  <c r="O137" i="1" a="1"/>
  <c r="K139" i="1" a="1"/>
  <c r="Q140" i="1" a="1"/>
  <c r="O141" i="1" a="1"/>
  <c r="M142" i="1" a="1"/>
  <c r="L143" i="1" a="1"/>
  <c r="O144" i="1" a="1"/>
  <c r="N145" i="1" a="1"/>
  <c r="L146" i="1" a="1"/>
  <c r="J147" i="1" a="1"/>
  <c r="Q147" i="1" a="1"/>
  <c r="O148" i="1" a="1"/>
  <c r="L149" i="1" a="1"/>
  <c r="R150" i="1" a="1"/>
  <c r="O151" i="1" a="1"/>
  <c r="M152" i="1" a="1"/>
  <c r="M154" i="1" a="1"/>
  <c r="K155" i="1" a="1"/>
  <c r="R155" i="1" a="1"/>
  <c r="O156" i="1" a="1"/>
  <c r="M158" i="1" a="1"/>
  <c r="K159" i="1" a="1"/>
  <c r="Q160" i="1" a="1"/>
  <c r="O161" i="1" a="1"/>
  <c r="M67" i="1" a="1"/>
  <c r="R68" i="1" a="1"/>
  <c r="O69" i="1" a="1"/>
  <c r="M70" i="1" a="1"/>
  <c r="L71" i="1" a="1"/>
  <c r="R72" i="1" a="1"/>
  <c r="O73" i="1" a="1"/>
  <c r="J75" i="1" a="1"/>
  <c r="R75" i="1" a="1"/>
  <c r="O76" i="1" a="1"/>
  <c r="M77" i="1" a="1"/>
  <c r="Q79" i="1" a="1"/>
  <c r="O80" i="1" a="1"/>
  <c r="M81" i="1" a="1"/>
  <c r="L82" i="1" a="1"/>
  <c r="K83" i="1" a="1"/>
  <c r="O84" i="1" a="1"/>
  <c r="M85" i="1" a="1"/>
  <c r="Q87" i="1" a="1"/>
  <c r="O88" i="1" a="1"/>
  <c r="M89" i="1" a="1"/>
  <c r="R90" i="1" a="1"/>
  <c r="O91" i="1" a="1"/>
  <c r="M92" i="1" a="1"/>
  <c r="L93" i="1" a="1"/>
  <c r="O94" i="1" a="1"/>
  <c r="L96" i="1" a="1"/>
  <c r="R96" i="1" a="1"/>
  <c r="O97" i="1" a="1"/>
  <c r="M98" i="1" a="1"/>
  <c r="L99" i="1" a="1"/>
  <c r="J100" i="1" a="1"/>
  <c r="O100" i="1" a="1"/>
  <c r="M101" i="1" a="1"/>
  <c r="R102" i="1" a="1"/>
  <c r="O103" i="1" a="1"/>
  <c r="M104" i="1" a="1"/>
  <c r="Q105" i="1" a="1"/>
  <c r="M106" i="1" a="1"/>
  <c r="J107" i="1" a="1"/>
  <c r="R107" i="1" a="1"/>
  <c r="N108" i="1" a="1"/>
  <c r="K109" i="1" a="1"/>
  <c r="Q110" i="1" a="1"/>
  <c r="K112" i="1" a="1"/>
  <c r="Q113" i="1" a="1"/>
  <c r="N114" i="1" a="1"/>
  <c r="K115" i="1" a="1"/>
  <c r="R115" i="1" a="1"/>
  <c r="O116" i="1" a="1"/>
  <c r="M117" i="1" a="1"/>
  <c r="K118" i="1" a="1"/>
  <c r="Q119" i="1" a="1"/>
  <c r="N120" i="1" a="1"/>
  <c r="L121" i="1" a="1"/>
  <c r="M123" i="1" a="1"/>
  <c r="L124" i="1" a="1"/>
  <c r="O125" i="1" a="1"/>
  <c r="L126" i="1" a="1"/>
  <c r="J127" i="1" a="1"/>
  <c r="Q127" i="1" a="1"/>
  <c r="K129" i="1" a="1"/>
  <c r="O130" i="1" a="1"/>
  <c r="Q132" i="1" a="1"/>
  <c r="M133" i="1" a="1"/>
  <c r="K134" i="1" a="1"/>
  <c r="O135" i="1" a="1"/>
  <c r="Q137" i="1" a="1"/>
  <c r="N138" i="1" a="1"/>
  <c r="L139" i="1" a="1"/>
  <c r="J140" i="1" a="1"/>
  <c r="R140" i="1" a="1"/>
  <c r="Q141" i="1" a="1"/>
  <c r="N142" i="1" a="1"/>
  <c r="M143" i="1" a="1"/>
  <c r="Q144" i="1" a="1"/>
  <c r="M146" i="1" a="1"/>
  <c r="K147" i="1" a="1"/>
  <c r="R147" i="1" a="1"/>
  <c r="Q148" i="1" a="1"/>
  <c r="M149" i="1" a="1"/>
  <c r="J150" i="1" a="1"/>
  <c r="Q151" i="1" a="1"/>
  <c r="N152" i="1" a="1"/>
  <c r="K153" i="1" a="1"/>
  <c r="O153" i="1" a="1"/>
  <c r="N154" i="1" a="1"/>
  <c r="L155" i="1" a="1"/>
  <c r="Q156" i="1" a="1"/>
  <c r="L157" i="1" a="1"/>
  <c r="Q157" i="1" a="1"/>
  <c r="N158" i="1" a="1"/>
  <c r="N67" i="1" a="1"/>
  <c r="K68" i="1" a="1"/>
  <c r="Q69" i="1" a="1"/>
  <c r="N70" i="1" a="1"/>
  <c r="M71" i="1" a="1"/>
  <c r="J72" i="1" a="1"/>
  <c r="Q73" i="1" a="1"/>
  <c r="L74" i="1" a="1"/>
  <c r="K75" i="1" a="1"/>
  <c r="Q76" i="1" a="1"/>
  <c r="N77" i="1" a="1"/>
  <c r="K78" i="1" a="1"/>
  <c r="J79" i="1" a="1"/>
  <c r="R79" i="1" a="1"/>
  <c r="Q80" i="1" a="1"/>
  <c r="N81" i="1" a="1"/>
  <c r="M82" i="1" a="1"/>
  <c r="L83" i="1" a="1"/>
  <c r="J84" i="1" a="1"/>
  <c r="Q84" i="1" a="1"/>
  <c r="N85" i="1" a="1"/>
  <c r="K86" i="1" a="1"/>
  <c r="J87" i="1" a="1"/>
  <c r="R87" i="1" a="1"/>
  <c r="Q88" i="1" a="1"/>
  <c r="N89" i="1" a="1"/>
  <c r="L90" i="1" a="1"/>
  <c r="N92" i="1" a="1"/>
  <c r="J94" i="1" a="1"/>
  <c r="Q94" i="1" a="1"/>
  <c r="N95" i="1" a="1"/>
  <c r="Q97" i="1" a="1"/>
  <c r="N98" i="1" a="1"/>
  <c r="M99" i="1" a="1"/>
  <c r="Q100" i="1" a="1"/>
  <c r="N101" i="1" a="1"/>
  <c r="K102" i="1" a="1"/>
  <c r="Q103" i="1" a="1"/>
  <c r="J105" i="1" a="1"/>
  <c r="R105" i="1" a="1"/>
  <c r="N106" i="1" a="1"/>
  <c r="K107" i="1" a="1"/>
  <c r="L109" i="1" a="1"/>
  <c r="J110" i="1" a="1"/>
  <c r="R110" i="1" a="1"/>
  <c r="N111" i="1" a="1"/>
  <c r="L112" i="1" a="1"/>
  <c r="J113" i="1" a="1"/>
  <c r="O114" i="1" a="1"/>
  <c r="Q116" i="1" a="1"/>
  <c r="N117" i="1" a="1"/>
  <c r="L118" i="1" a="1"/>
  <c r="J119" i="1" a="1"/>
  <c r="R119" i="1" a="1"/>
  <c r="O120" i="1" a="1"/>
  <c r="J122" i="1" a="1"/>
  <c r="Q122" i="1" a="1"/>
  <c r="N123" i="1" a="1"/>
  <c r="M124" i="1" a="1"/>
  <c r="Q125" i="1" a="1"/>
  <c r="M126" i="1" a="1"/>
  <c r="M128" i="1" a="1"/>
  <c r="J130" i="1" a="1"/>
  <c r="M131" i="1" a="1"/>
  <c r="K132" i="1" a="1"/>
  <c r="R132" i="1" a="1"/>
  <c r="N133" i="1" a="1"/>
  <c r="L134" i="1" a="1"/>
  <c r="R134" i="1" a="1"/>
  <c r="Q135" i="1" a="1"/>
  <c r="M136" i="1" a="1"/>
  <c r="R137" i="1" a="1"/>
  <c r="O138" i="1" a="1"/>
  <c r="M139" i="1" a="1"/>
  <c r="K140" i="1" a="1"/>
  <c r="R141" i="1" a="1"/>
  <c r="O142" i="1" a="1"/>
  <c r="J144" i="1" a="1"/>
  <c r="R144" i="1" a="1"/>
  <c r="O145" i="1" a="1"/>
  <c r="N146" i="1" a="1"/>
  <c r="R148" i="1" a="1"/>
  <c r="N149" i="1" a="1"/>
  <c r="K150" i="1" a="1"/>
  <c r="J151" i="1" a="1"/>
  <c r="R151" i="1" a="1"/>
  <c r="Q153" i="1" a="1"/>
  <c r="O154" i="1" a="1"/>
  <c r="M155" i="1" a="1"/>
  <c r="O158" i="1" a="1"/>
  <c r="R161" i="1" a="1"/>
  <c r="Q162" i="1" a="1"/>
  <c r="J67" i="1" a="1"/>
  <c r="Q67" i="1" a="1"/>
  <c r="N68" i="1" a="1"/>
  <c r="K69" i="1" a="1"/>
  <c r="R70" i="1" a="1"/>
  <c r="O71" i="1" a="1"/>
  <c r="M72" i="1" a="1"/>
  <c r="K73" i="1" a="1"/>
  <c r="O74" i="1" a="1"/>
  <c r="K76" i="1" a="1"/>
  <c r="J77" i="1" a="1"/>
  <c r="Q77" i="1" a="1"/>
  <c r="N78" i="1" a="1"/>
  <c r="M79" i="1" a="1"/>
  <c r="K80" i="1" a="1"/>
  <c r="J81" i="1" a="1"/>
  <c r="R81" i="1" a="1"/>
  <c r="Q82" i="1" a="1"/>
  <c r="N83" i="1" a="1"/>
  <c r="J85" i="1" a="1"/>
  <c r="Q85" i="1" a="1"/>
  <c r="N86" i="1" a="1"/>
  <c r="M87" i="1" a="1"/>
  <c r="K88" i="1" a="1"/>
  <c r="J89" i="1" a="1"/>
  <c r="R89" i="1" a="1"/>
  <c r="N90" i="1" a="1"/>
  <c r="R92" i="1" a="1"/>
  <c r="O93" i="1" a="1"/>
  <c r="L94" i="1" a="1"/>
  <c r="J95" i="1" a="1"/>
  <c r="R95" i="1" a="1"/>
  <c r="N96" i="1" a="1"/>
  <c r="K97" i="1" a="1"/>
  <c r="R98" i="1" a="1"/>
  <c r="O99" i="1" a="1"/>
  <c r="L100" i="1" a="1"/>
  <c r="J101" i="1" a="1"/>
  <c r="Q101" i="1" a="1"/>
  <c r="L103" i="1" a="1"/>
  <c r="J104" i="1" a="1"/>
  <c r="Q104" i="1" a="1"/>
  <c r="K106" i="1" a="1"/>
  <c r="Q106" i="1" a="1"/>
  <c r="K108" i="1" a="1"/>
  <c r="Q108" i="1" a="1"/>
  <c r="N109" i="1" a="1"/>
  <c r="L110" i="1" a="1"/>
  <c r="K111" i="1" a="1"/>
  <c r="R111" i="1" a="1"/>
  <c r="O112" i="1" a="1"/>
  <c r="J114" i="1" a="1"/>
  <c r="R114" i="1" a="1"/>
  <c r="N115" i="1" a="1"/>
  <c r="L116" i="1" a="1"/>
  <c r="J117" i="1" a="1"/>
  <c r="Q117" i="1" a="1"/>
  <c r="O118" i="1" a="1"/>
  <c r="L119" i="1" a="1"/>
  <c r="J120" i="1" a="1"/>
  <c r="O121" i="1" a="1"/>
  <c r="L122" i="1" a="1"/>
  <c r="J123" i="1" a="1"/>
  <c r="R123" i="1" a="1"/>
  <c r="O124" i="1" a="1"/>
  <c r="L125" i="1" a="1"/>
  <c r="O126" i="1" a="1"/>
  <c r="J128" i="1" a="1"/>
  <c r="Q128" i="1" a="1"/>
  <c r="N129" i="1" a="1"/>
  <c r="L130" i="1" a="1"/>
  <c r="Q131" i="1" a="1"/>
  <c r="J133" i="1" a="1"/>
  <c r="R133" i="1" a="1"/>
  <c r="K135" i="1" a="1"/>
  <c r="J136" i="1" a="1"/>
  <c r="O136" i="1" a="1"/>
  <c r="L137" i="1" a="1"/>
  <c r="K138" i="1" a="1"/>
  <c r="M140" i="1" a="1"/>
  <c r="L141" i="1" a="1"/>
  <c r="K142" i="1" a="1"/>
  <c r="L144" i="1" a="1"/>
  <c r="K145" i="1" a="1"/>
  <c r="R146" i="1" a="1"/>
  <c r="N147" i="1" a="1"/>
  <c r="L148" i="1" a="1"/>
  <c r="J149" i="1" a="1"/>
  <c r="Q149" i="1" a="1"/>
  <c r="N150" i="1" a="1"/>
  <c r="M151" i="1" a="1"/>
  <c r="J152" i="1" a="1"/>
  <c r="R152" i="1" a="1"/>
  <c r="M153" i="1" a="1"/>
  <c r="J154" i="1" a="1"/>
  <c r="L156" i="1" a="1"/>
  <c r="J157" i="1" a="1"/>
  <c r="N157" i="1" a="1"/>
  <c r="L69" i="1" a="1"/>
  <c r="J73" i="1" a="1"/>
  <c r="N74" i="1" a="1"/>
  <c r="O85" i="1" a="1"/>
  <c r="L87" i="1" a="1"/>
  <c r="O89" i="1" a="1"/>
  <c r="K91" i="1" a="1"/>
  <c r="R94" i="1" a="1"/>
  <c r="O96" i="1" a="1"/>
  <c r="J98" i="1" a="1"/>
  <c r="K100" i="1" a="1"/>
  <c r="R101" i="1" a="1"/>
  <c r="M103" i="1" a="1"/>
  <c r="K105" i="1" a="1"/>
  <c r="Q111" i="1" a="1"/>
  <c r="L113" i="1" a="1"/>
  <c r="L115" i="1" a="1"/>
  <c r="Q118" i="1" a="1"/>
  <c r="Q120" i="1" a="1"/>
  <c r="N124" i="1" a="1"/>
  <c r="M125" i="1" a="1"/>
  <c r="O128" i="1" a="1"/>
  <c r="R131" i="1" a="1"/>
  <c r="O133" i="1" a="1"/>
  <c r="J135" i="1" a="1"/>
  <c r="L138" i="1" a="1"/>
  <c r="L140" i="1" a="1"/>
  <c r="J142" i="1" a="1"/>
  <c r="Q143" i="1" a="1"/>
  <c r="Q145" i="1" a="1"/>
  <c r="L147" i="1" a="1"/>
  <c r="O150" i="1" a="1"/>
  <c r="O152" i="1" a="1"/>
  <c r="K154" i="1" a="1"/>
  <c r="J156" i="1" a="1"/>
  <c r="K160" i="1" a="1"/>
  <c r="K161" i="1" a="1"/>
  <c r="L162" i="1" a="1"/>
  <c r="K163" i="1" a="1"/>
  <c r="J164" i="1" a="1"/>
  <c r="R164" i="1" a="1"/>
  <c r="Q165" i="1" a="1"/>
  <c r="O166" i="1" a="1"/>
  <c r="M167" i="1" a="1"/>
  <c r="K168" i="1" a="1"/>
  <c r="J169" i="1" a="1"/>
  <c r="R170" i="1" a="1"/>
  <c r="O171" i="1" a="1"/>
  <c r="M172" i="1" a="1"/>
  <c r="L173" i="1" a="1"/>
  <c r="J174" i="1" a="1"/>
  <c r="R174" i="1" a="1"/>
  <c r="O175" i="1" a="1"/>
  <c r="L176" i="1" a="1"/>
  <c r="K177" i="1" a="1"/>
  <c r="Q177" i="1" a="1"/>
  <c r="J179" i="1" a="1"/>
  <c r="R179" i="1" a="1"/>
  <c r="Q180" i="1" a="1"/>
  <c r="N181" i="1" a="1"/>
  <c r="K182" i="1" a="1"/>
  <c r="Q182" i="1" a="1"/>
  <c r="N183" i="1" a="1"/>
  <c r="M184" i="1" a="1"/>
  <c r="L185" i="1" a="1"/>
  <c r="R186" i="1" a="1"/>
  <c r="M188" i="1" a="1"/>
  <c r="O190" i="1" a="1"/>
  <c r="L191" i="1" a="1"/>
  <c r="Q192" i="1" a="1"/>
  <c r="L194" i="1" a="1"/>
  <c r="J195" i="1" a="1"/>
  <c r="L196" i="1" a="1"/>
  <c r="Q199" i="1" a="1"/>
  <c r="M200" i="1" a="1"/>
  <c r="J201" i="1" a="1"/>
  <c r="M202" i="1" a="1"/>
  <c r="J203" i="1" a="1"/>
  <c r="Q203" i="1" a="1"/>
  <c r="M204" i="1" a="1"/>
  <c r="M206" i="1" a="1"/>
  <c r="J207" i="1" a="1"/>
  <c r="Q207" i="1" a="1"/>
  <c r="O208" i="1" a="1"/>
  <c r="N210" i="1" a="1"/>
  <c r="L211" i="1" a="1"/>
  <c r="N212" i="1" a="1"/>
  <c r="K213" i="1" a="1"/>
  <c r="Q214" i="1" a="1"/>
  <c r="N215" i="1" a="1"/>
  <c r="K216" i="1" a="1"/>
  <c r="R67" i="1" a="1"/>
  <c r="N71" i="1" a="1"/>
  <c r="Q74" i="1" a="1"/>
  <c r="L76" i="1" a="1"/>
  <c r="L78" i="1" a="1"/>
  <c r="J80" i="1" a="1"/>
  <c r="N82" i="1" a="1"/>
  <c r="R85" i="1" a="1"/>
  <c r="Q89" i="1" a="1"/>
  <c r="L91" i="1" a="1"/>
  <c r="M93" i="1" a="1"/>
  <c r="O98" i="1" a="1"/>
  <c r="R103" i="1" a="1"/>
  <c r="L105" i="1" a="1"/>
  <c r="O108" i="1" a="1"/>
  <c r="M113" i="1" a="1"/>
  <c r="M115" i="1" a="1"/>
  <c r="R120" i="1" a="1"/>
  <c r="M122" i="1" a="1"/>
  <c r="R125" i="1" a="1"/>
  <c r="K127" i="1" a="1"/>
  <c r="R128" i="1" a="1"/>
  <c r="M130" i="1" a="1"/>
  <c r="Q133" i="1" a="1"/>
  <c r="L135" i="1" a="1"/>
  <c r="Q138" i="1" a="1"/>
  <c r="L142" i="1" a="1"/>
  <c r="R145" i="1" a="1"/>
  <c r="M147" i="1" a="1"/>
  <c r="Q152" i="1" a="1"/>
  <c r="Q154" i="1" a="1"/>
  <c r="K156" i="1" a="1"/>
  <c r="R157" i="1" a="1"/>
  <c r="L159" i="1" a="1"/>
  <c r="L160" i="1" a="1"/>
  <c r="L161" i="1" a="1"/>
  <c r="M162" i="1" a="1"/>
  <c r="L163" i="1" a="1"/>
  <c r="K164" i="1" a="1"/>
  <c r="R165" i="1" a="1"/>
  <c r="N167" i="1" a="1"/>
  <c r="L168" i="1" a="1"/>
  <c r="K169" i="1" a="1"/>
  <c r="J170" i="1" a="1"/>
  <c r="Q171" i="1" a="1"/>
  <c r="N172" i="1" a="1"/>
  <c r="M173" i="1" a="1"/>
  <c r="K174" i="1" a="1"/>
  <c r="Q175" i="1" a="1"/>
  <c r="M176" i="1" a="1"/>
  <c r="R177" i="1" a="1"/>
  <c r="N178" i="1" a="1"/>
  <c r="K179" i="1" a="1"/>
  <c r="R180" i="1" a="1"/>
  <c r="O181" i="1" a="1"/>
  <c r="R182" i="1" a="1"/>
  <c r="O183" i="1" a="1"/>
  <c r="N184" i="1" a="1"/>
  <c r="M185" i="1" a="1"/>
  <c r="J186" i="1" a="1"/>
  <c r="O187" i="1" a="1"/>
  <c r="N188" i="1" a="1"/>
  <c r="L189" i="1" a="1"/>
  <c r="Q190" i="1" a="1"/>
  <c r="R192" i="1" a="1"/>
  <c r="O193" i="1" a="1"/>
  <c r="M194" i="1" a="1"/>
  <c r="K195" i="1" a="1"/>
  <c r="Q195" i="1" a="1"/>
  <c r="M196" i="1" a="1"/>
  <c r="K197" i="1" a="1"/>
  <c r="R197" i="1" a="1"/>
  <c r="N198" i="1" a="1"/>
  <c r="K199" i="1" a="1"/>
  <c r="R199" i="1" a="1"/>
  <c r="R201" i="1" a="1"/>
  <c r="N202" i="1" a="1"/>
  <c r="K203" i="1" a="1"/>
  <c r="N204" i="1" a="1"/>
  <c r="K205" i="1" a="1"/>
  <c r="R205" i="1" a="1"/>
  <c r="N206" i="1" a="1"/>
  <c r="K207" i="1" a="1"/>
  <c r="R207" i="1" a="1"/>
  <c r="Q208" i="1" a="1"/>
  <c r="M209" i="1" a="1"/>
  <c r="O210" i="1" a="1"/>
  <c r="M211" i="1" a="1"/>
  <c r="J212" i="1" a="1"/>
  <c r="O212" i="1" a="1"/>
  <c r="R214" i="1" a="1"/>
  <c r="L216" i="1" a="1"/>
  <c r="R69" i="1" a="1"/>
  <c r="Q71" i="1" a="1"/>
  <c r="L73" i="1" a="1"/>
  <c r="R76" i="1" a="1"/>
  <c r="M78" i="1" a="1"/>
  <c r="L80" i="1" a="1"/>
  <c r="O82" i="1" a="1"/>
  <c r="K84" i="1" a="1"/>
  <c r="Q91" i="1" a="1"/>
  <c r="N93" i="1" a="1"/>
  <c r="K95" i="1" a="1"/>
  <c r="J97" i="1" a="1"/>
  <c r="Q98" i="1" a="1"/>
  <c r="M100" i="1" a="1"/>
  <c r="L102" i="1" a="1"/>
  <c r="M105" i="1" a="1"/>
  <c r="L107" i="1" a="1"/>
  <c r="K110" i="1" a="1"/>
  <c r="R113" i="1" a="1"/>
  <c r="O115" i="1" a="1"/>
  <c r="K119" i="1" a="1"/>
  <c r="R122" i="1" a="1"/>
  <c r="Q124" i="1" a="1"/>
  <c r="L127" i="1" a="1"/>
  <c r="Q130" i="1" a="1"/>
  <c r="L132" i="1" a="1"/>
  <c r="R135" i="1" a="1"/>
  <c r="R138" i="1" a="1"/>
  <c r="N140" i="1" a="1"/>
  <c r="Q142" i="1" a="1"/>
  <c r="K144" i="1" a="1"/>
  <c r="O147" i="1" a="1"/>
  <c r="K151" i="1" a="1"/>
  <c r="R154" i="1" a="1"/>
  <c r="M156" i="1" a="1"/>
  <c r="M159" i="1" a="1"/>
  <c r="M160" i="1" a="1"/>
  <c r="M161" i="1" a="1"/>
  <c r="N162" i="1" a="1"/>
  <c r="M163" i="1" a="1"/>
  <c r="L164" i="1" a="1"/>
  <c r="J165" i="1" a="1"/>
  <c r="Q166" i="1" a="1"/>
  <c r="O167" i="1" a="1"/>
  <c r="M168" i="1" a="1"/>
  <c r="L169" i="1" a="1"/>
  <c r="K170" i="1" a="1"/>
  <c r="R171" i="1" a="1"/>
  <c r="O172" i="1" a="1"/>
  <c r="N173" i="1" a="1"/>
  <c r="J175" i="1" a="1"/>
  <c r="N176" i="1" a="1"/>
  <c r="L177" i="1" a="1"/>
  <c r="O178" i="1" a="1"/>
  <c r="L179" i="1" a="1"/>
  <c r="J180" i="1" a="1"/>
  <c r="L182" i="1" a="1"/>
  <c r="Q183" i="1" a="1"/>
  <c r="O184" i="1" a="1"/>
  <c r="K186" i="1" a="1"/>
  <c r="J187" i="1" a="1"/>
  <c r="Q187" i="1" a="1"/>
  <c r="O188" i="1" a="1"/>
  <c r="M189" i="1" a="1"/>
  <c r="J190" i="1" a="1"/>
  <c r="R190" i="1" a="1"/>
  <c r="M191" i="1" a="1"/>
  <c r="J192" i="1" a="1"/>
  <c r="Q193" i="1" a="1"/>
  <c r="N194" i="1" a="1"/>
  <c r="N196" i="1" a="1"/>
  <c r="L197" i="1" a="1"/>
  <c r="O198" i="1" a="1"/>
  <c r="L199" i="1" a="1"/>
  <c r="N200" i="1" a="1"/>
  <c r="K201" i="1" a="1"/>
  <c r="O202" i="1" a="1"/>
  <c r="R203" i="1" a="1"/>
  <c r="N209" i="1" a="1"/>
  <c r="J210" i="1" a="1"/>
  <c r="N211" i="1" a="1"/>
  <c r="Q212" i="1" a="1"/>
  <c r="L213" i="1" a="1"/>
  <c r="J214" i="1" a="1"/>
  <c r="O215" i="1" a="1"/>
  <c r="J217" i="1" a="1"/>
  <c r="Q217" i="1" a="1"/>
  <c r="M218" i="1" a="1"/>
  <c r="J219" i="1" a="1"/>
  <c r="L68" i="1" a="1"/>
  <c r="L75" i="1" a="1"/>
  <c r="O78" i="1" a="1"/>
  <c r="R80" i="1" a="1"/>
  <c r="R82" i="1" a="1"/>
  <c r="L84" i="1" a="1"/>
  <c r="L86" i="1" a="1"/>
  <c r="J88" i="1" a="1"/>
  <c r="R91" i="1" a="1"/>
  <c r="Q93" i="1" a="1"/>
  <c r="O95" i="1" a="1"/>
  <c r="R100" i="1" a="1"/>
  <c r="M102" i="1" a="1"/>
  <c r="K104" i="1" a="1"/>
  <c r="M107" i="1" a="1"/>
  <c r="R108" i="1" a="1"/>
  <c r="M110" i="1" a="1"/>
  <c r="M112" i="1" a="1"/>
  <c r="O117" i="1" a="1"/>
  <c r="M121" i="1" a="1"/>
  <c r="M127" i="1" a="1"/>
  <c r="L129" i="1" a="1"/>
  <c r="R130" i="1" a="1"/>
  <c r="M132" i="1" a="1"/>
  <c r="J137" i="1" a="1"/>
  <c r="R142" i="1" a="1"/>
  <c r="J146" i="1" a="1"/>
  <c r="O149" i="1" a="1"/>
  <c r="L151" i="1" a="1"/>
  <c r="L153" i="1" a="1"/>
  <c r="R156" i="1" a="1"/>
  <c r="J158" i="1" a="1"/>
  <c r="N159" i="1" a="1"/>
  <c r="N160" i="1" a="1"/>
  <c r="N161" i="1" a="1"/>
  <c r="O162" i="1" a="1"/>
  <c r="N163" i="1" a="1"/>
  <c r="K165" i="1" a="1"/>
  <c r="J166" i="1" a="1"/>
  <c r="R166" i="1" a="1"/>
  <c r="Q167" i="1" a="1"/>
  <c r="N168" i="1" a="1"/>
  <c r="M169" i="1" a="1"/>
  <c r="L170" i="1" a="1"/>
  <c r="J171" i="1" a="1"/>
  <c r="Q172" i="1" a="1"/>
  <c r="O173" i="1" a="1"/>
  <c r="L174" i="1" a="1"/>
  <c r="R175" i="1" a="1"/>
  <c r="O176" i="1" a="1"/>
  <c r="J178" i="1" a="1"/>
  <c r="Q178" i="1" a="1"/>
  <c r="M179" i="1" a="1"/>
  <c r="K180" i="1" a="1"/>
  <c r="J181" i="1" a="1"/>
  <c r="Q181" i="1" a="1"/>
  <c r="M182" i="1" a="1"/>
  <c r="J183" i="1" a="1"/>
  <c r="R183" i="1" a="1"/>
  <c r="Q184" i="1" a="1"/>
  <c r="N185" i="1" a="1"/>
  <c r="L186" i="1" a="1"/>
  <c r="R187" i="1" a="1"/>
  <c r="Q188" i="1" a="1"/>
  <c r="N189" i="1" a="1"/>
  <c r="K190" i="1" a="1"/>
  <c r="N191" i="1" a="1"/>
  <c r="K192" i="1" a="1"/>
  <c r="J193" i="1" a="1"/>
  <c r="R193" i="1" a="1"/>
  <c r="O194" i="1" a="1"/>
  <c r="L195" i="1" a="1"/>
  <c r="R195" i="1" a="1"/>
  <c r="O196" i="1" a="1"/>
  <c r="M197" i="1" a="1"/>
  <c r="J198" i="1" a="1"/>
  <c r="Q198" i="1" a="1"/>
  <c r="M199" i="1" a="1"/>
  <c r="O200" i="1" a="1"/>
  <c r="L201" i="1" a="1"/>
  <c r="J202" i="1" a="1"/>
  <c r="L203" i="1" a="1"/>
  <c r="O204" i="1" a="1"/>
  <c r="L205" i="1" a="1"/>
  <c r="J206" i="1" a="1"/>
  <c r="O206" i="1" a="1"/>
  <c r="L207" i="1" a="1"/>
  <c r="J208" i="1" a="1"/>
  <c r="R208" i="1" a="1"/>
  <c r="Q210" i="1" a="1"/>
  <c r="O211" i="1" a="1"/>
  <c r="K212" i="1" a="1"/>
  <c r="R212" i="1" a="1"/>
  <c r="M213" i="1" a="1"/>
  <c r="K214" i="1" a="1"/>
  <c r="J215" i="1" a="1"/>
  <c r="Q215" i="1" a="1"/>
  <c r="M68" i="1" a="1"/>
  <c r="J70" i="1" a="1"/>
  <c r="K72" i="1" a="1"/>
  <c r="R73" i="1" a="1"/>
  <c r="M75" i="1" a="1"/>
  <c r="R84" i="1" a="1"/>
  <c r="M86" i="1" a="1"/>
  <c r="L88" i="1" a="1"/>
  <c r="M90" i="1" a="1"/>
  <c r="Q95" i="1" a="1"/>
  <c r="L97" i="1" a="1"/>
  <c r="N102" i="1" a="1"/>
  <c r="N104" i="1" a="1"/>
  <c r="J106" i="1" a="1"/>
  <c r="N107" i="1" a="1"/>
  <c r="N112" i="1" a="1"/>
  <c r="K114" i="1" a="1"/>
  <c r="J116" i="1" a="1"/>
  <c r="R117" i="1" a="1"/>
  <c r="M119" i="1" a="1"/>
  <c r="N121" i="1" a="1"/>
  <c r="K123" i="1" a="1"/>
  <c r="J126" i="1" a="1"/>
  <c r="R127" i="1" a="1"/>
  <c r="M129" i="1" a="1"/>
  <c r="N132" i="1" a="1"/>
  <c r="K136" i="1" a="1"/>
  <c r="K137" i="1" a="1"/>
  <c r="N139" i="1" a="1"/>
  <c r="J141" i="1" a="1"/>
  <c r="M144" i="1" a="1"/>
  <c r="O146" i="1" a="1"/>
  <c r="J148" i="1" a="1"/>
  <c r="N155" i="1" a="1"/>
  <c r="K158" i="1" a="1"/>
  <c r="O159" i="1" a="1"/>
  <c r="O160" i="1" a="1"/>
  <c r="Q161" i="1" a="1"/>
  <c r="K67" i="1" a="1"/>
  <c r="Q70" i="1" a="1"/>
  <c r="N72" i="1" a="1"/>
  <c r="J74" i="1" a="1"/>
  <c r="O77" i="1" a="1"/>
  <c r="L79" i="1" a="1"/>
  <c r="O81" i="1" a="1"/>
  <c r="O92" i="1" a="1"/>
  <c r="K94" i="1" a="1"/>
  <c r="M96" i="1" a="1"/>
  <c r="R97" i="1" a="1"/>
  <c r="Q99" i="1" a="1"/>
  <c r="J103" i="1" a="1"/>
  <c r="O106" i="1" a="1"/>
  <c r="J108" i="1" a="1"/>
  <c r="M109" i="1" a="1"/>
  <c r="Q114" i="1" a="1"/>
  <c r="M116" i="1" a="1"/>
  <c r="M118" i="1" a="1"/>
  <c r="Q123" i="1" a="1"/>
  <c r="J125" i="1" a="1"/>
  <c r="N126" i="1" a="1"/>
  <c r="K128" i="1" a="1"/>
  <c r="N131" i="1" a="1"/>
  <c r="N134" i="1" a="1"/>
  <c r="N136" i="1" a="1"/>
  <c r="Q139" i="1" a="1"/>
  <c r="M141" i="1" a="1"/>
  <c r="N143" i="1" a="1"/>
  <c r="J145" i="1" a="1"/>
  <c r="M148" i="1" a="1"/>
  <c r="L150" i="1" a="1"/>
  <c r="R153" i="1" a="1"/>
  <c r="Q155" i="1" a="1"/>
  <c r="M157" i="1" a="1"/>
  <c r="Q158" i="1" a="1"/>
  <c r="J162" i="1" a="1"/>
  <c r="R163" i="1" a="1"/>
  <c r="O164" i="1" a="1"/>
  <c r="N165" i="1" a="1"/>
  <c r="M166" i="1" a="1"/>
  <c r="K167" i="1" a="1"/>
  <c r="J168" i="1" a="1"/>
  <c r="R168" i="1" a="1"/>
  <c r="Q169" i="1" a="1"/>
  <c r="O170" i="1" a="1"/>
  <c r="M171" i="1" a="1"/>
  <c r="L172" i="1" a="1"/>
  <c r="J173" i="1" a="1"/>
  <c r="O174" i="1" a="1"/>
  <c r="M175" i="1" a="1"/>
  <c r="J176" i="1" a="1"/>
  <c r="N177" i="1" a="1"/>
  <c r="Q179" i="1" a="1"/>
  <c r="N180" i="1" a="1"/>
  <c r="L181" i="1" a="1"/>
  <c r="J182" i="1" a="1"/>
  <c r="O182" i="1" a="1"/>
  <c r="K184" i="1" a="1"/>
  <c r="J185" i="1" a="1"/>
  <c r="R185" i="1" a="1"/>
  <c r="O186" i="1" a="1"/>
  <c r="M187" i="1" a="1"/>
  <c r="K188" i="1" a="1"/>
  <c r="J189" i="1" a="1"/>
  <c r="Q189" i="1" a="1"/>
  <c r="M190" i="1" a="1"/>
  <c r="K191" i="1" a="1"/>
  <c r="R191" i="1" a="1"/>
  <c r="N192" i="1" a="1"/>
  <c r="M193" i="1" a="1"/>
  <c r="K194" i="1" a="1"/>
  <c r="R194" i="1" a="1"/>
  <c r="N195" i="1" a="1"/>
  <c r="J196" i="1" a="1"/>
  <c r="O197" i="1" a="1"/>
  <c r="L198" i="1" a="1"/>
  <c r="O199" i="1" a="1"/>
  <c r="L200" i="1" a="1"/>
  <c r="O201" i="1" a="1"/>
  <c r="L202" i="1" a="1"/>
  <c r="R202" i="1" a="1"/>
  <c r="N203" i="1" a="1"/>
  <c r="K204" i="1" a="1"/>
  <c r="O205" i="1" a="1"/>
  <c r="L206" i="1" a="1"/>
  <c r="N207" i="1" a="1"/>
  <c r="M208" i="1" a="1"/>
  <c r="K209" i="1" a="1"/>
  <c r="J211" i="1" a="1"/>
  <c r="R211" i="1" a="1"/>
  <c r="M212" i="1" a="1"/>
  <c r="Q213" i="1" a="1"/>
  <c r="N214" i="1" a="1"/>
  <c r="L215" i="1" a="1"/>
  <c r="O68" i="1" a="1"/>
  <c r="K81" i="1" a="1"/>
  <c r="K89" i="1" a="1"/>
  <c r="K130" i="1" a="1"/>
  <c r="K141" i="1" a="1"/>
  <c r="M150" i="1" a="1"/>
  <c r="R158" i="1" a="1"/>
  <c r="R173" i="1" a="1"/>
  <c r="N175" i="1" a="1"/>
  <c r="M177" i="1" a="1"/>
  <c r="R178" i="1" a="1"/>
  <c r="O180" i="1" a="1"/>
  <c r="N182" i="1" a="1"/>
  <c r="J184" i="1" a="1"/>
  <c r="R189" i="1" a="1"/>
  <c r="O192" i="1" a="1"/>
  <c r="Q194" i="1" a="1"/>
  <c r="K196" i="1" a="1"/>
  <c r="R200" i="1" a="1"/>
  <c r="J204" i="1" a="1"/>
  <c r="N205" i="1" a="1"/>
  <c r="L210" i="1" a="1"/>
  <c r="N213" i="1" a="1"/>
  <c r="N216" i="1" a="1"/>
  <c r="R218" i="1" a="1"/>
  <c r="O219" i="1" a="1"/>
  <c r="K221" i="1" a="1"/>
  <c r="Q223" i="1" a="1"/>
  <c r="N224" i="1" a="1"/>
  <c r="R225" i="1" a="1"/>
  <c r="K228" i="1" a="1"/>
  <c r="Q228" i="1" a="1"/>
  <c r="M229" i="1" a="1"/>
  <c r="L230" i="1" a="1"/>
  <c r="O231" i="1" a="1"/>
  <c r="Q226" i="1" a="1"/>
  <c r="M228" i="1" a="1"/>
  <c r="Q231" i="1" a="1"/>
  <c r="R229" i="1" a="1"/>
  <c r="Q136" i="1" a="1"/>
  <c r="R160" i="1" a="1"/>
  <c r="K171" i="1" a="1"/>
  <c r="O185" i="1" a="1"/>
  <c r="N197" i="1" a="1"/>
  <c r="M214" i="1" a="1"/>
  <c r="O221" i="1" a="1"/>
  <c r="O225" i="1" a="1"/>
  <c r="O165" i="1" a="1"/>
  <c r="J199" i="1" a="1"/>
  <c r="J213" i="1" a="1"/>
  <c r="L220" i="1" a="1"/>
  <c r="M224" i="1" a="1"/>
  <c r="Q230" i="1" a="1"/>
  <c r="R77" i="1" a="1"/>
  <c r="Q81" i="1" a="1"/>
  <c r="J111" i="1" a="1"/>
  <c r="O123" i="1" a="1"/>
  <c r="Q126" i="1" a="1"/>
  <c r="M134" i="1" a="1"/>
  <c r="M137" i="1" a="1"/>
  <c r="Q146" i="1" a="1"/>
  <c r="O155" i="1" a="1"/>
  <c r="K162" i="1" a="1"/>
  <c r="M164" i="1" a="1"/>
  <c r="K166" i="1" a="1"/>
  <c r="M170" i="1" a="1"/>
  <c r="J172" i="1" a="1"/>
  <c r="L184" i="1" a="1"/>
  <c r="M186" i="1" a="1"/>
  <c r="J188" i="1" a="1"/>
  <c r="O191" i="1" a="1"/>
  <c r="Q196" i="1" a="1"/>
  <c r="N199" i="1" a="1"/>
  <c r="Q202" i="1" a="1"/>
  <c r="Q205" i="1" a="1"/>
  <c r="M207" i="1" a="1"/>
  <c r="J209" i="1" a="1"/>
  <c r="M210" i="1" a="1"/>
  <c r="O213" i="1" a="1"/>
  <c r="K215" i="1" a="1"/>
  <c r="O216" i="1" a="1"/>
  <c r="N217" i="1" a="1"/>
  <c r="K218" i="1" a="1"/>
  <c r="M220" i="1" a="1"/>
  <c r="N222" i="1" a="1"/>
  <c r="K223" i="1" a="1"/>
  <c r="R223" i="1" a="1"/>
  <c r="O224" i="1" a="1"/>
  <c r="L225" i="1" a="1"/>
  <c r="O226" i="1" a="1"/>
  <c r="M227" i="1" a="1"/>
  <c r="L228" i="1" a="1"/>
  <c r="R228" i="1" a="1"/>
  <c r="N229" i="1" a="1"/>
  <c r="R230" i="1" a="1"/>
  <c r="O222" i="1" a="1"/>
  <c r="M225" i="1" a="1"/>
  <c r="O229" i="1" a="1"/>
  <c r="Q227" i="1" a="1"/>
  <c r="K231" i="1" a="1"/>
  <c r="J163" i="1" a="1"/>
  <c r="L183" i="1" a="1"/>
  <c r="O195" i="1" a="1"/>
  <c r="R209" i="1" a="1"/>
  <c r="O218" i="1" a="1"/>
  <c r="R222" i="1" a="1"/>
  <c r="J227" i="1" a="1"/>
  <c r="D33" i="1" a="1"/>
  <c r="J177" i="1" a="1"/>
  <c r="N208" i="1" a="1"/>
  <c r="N219" i="1" a="1"/>
  <c r="O223" i="1" a="1"/>
  <c r="J228" i="1" a="1"/>
  <c r="J69" i="1" a="1"/>
  <c r="M74" i="1" a="1"/>
  <c r="O86" i="1" a="1"/>
  <c r="O90" i="1" a="1"/>
  <c r="K103" i="1" a="1"/>
  <c r="O111" i="1" a="1"/>
  <c r="J131" i="1" a="1"/>
  <c r="Q159" i="1" a="1"/>
  <c r="R162" i="1" a="1"/>
  <c r="N164" i="1" a="1"/>
  <c r="L166" i="1" a="1"/>
  <c r="O168" i="1" a="1"/>
  <c r="N170" i="1" a="1"/>
  <c r="K172" i="1" a="1"/>
  <c r="M174" i="1" a="1"/>
  <c r="O177" i="1" a="1"/>
  <c r="N179" i="1" a="1"/>
  <c r="K181" i="1" a="1"/>
  <c r="R184" i="1" a="1"/>
  <c r="N186" i="1" a="1"/>
  <c r="L188" i="1" a="1"/>
  <c r="Q191" i="1" a="1"/>
  <c r="K193" i="1" a="1"/>
  <c r="R196" i="1" a="1"/>
  <c r="K198" i="1" a="1"/>
  <c r="M201" i="1" a="1"/>
  <c r="L204" i="1" a="1"/>
  <c r="L209" i="1" a="1"/>
  <c r="R210" i="1" a="1"/>
  <c r="L212" i="1" a="1"/>
  <c r="R213" i="1" a="1"/>
  <c r="M215" i="1" a="1"/>
  <c r="Q216" i="1" a="1"/>
  <c r="O217" i="1" a="1"/>
  <c r="L218" i="1" a="1"/>
  <c r="Q219" i="1" a="1"/>
  <c r="N220" i="1" a="1"/>
  <c r="L221" i="1" a="1"/>
  <c r="J222" i="1" a="1"/>
  <c r="L223" i="1" a="1"/>
  <c r="Q224" i="1" a="1"/>
  <c r="J226" i="1" a="1"/>
  <c r="N227" i="1" a="1"/>
  <c r="M230" i="1" a="1"/>
  <c r="N230" i="1" a="1"/>
  <c r="L165" i="1" a="1"/>
  <c r="R181" i="1" a="1"/>
  <c r="K200" i="1" a="1"/>
  <c r="J220" i="1" a="1"/>
  <c r="L226" i="1" a="1"/>
  <c r="K229" i="1" a="1"/>
  <c r="N171" i="1" a="1"/>
  <c r="Q197" i="1" a="1"/>
  <c r="K210" i="1" a="1"/>
  <c r="Q218" i="1" a="1"/>
  <c r="J223" i="1" a="1"/>
  <c r="N226" i="1" a="1"/>
  <c r="N231" i="1" a="1"/>
  <c r="M94" i="1" a="1"/>
  <c r="N99" i="1" a="1"/>
  <c r="K116" i="1" a="1"/>
  <c r="K120" i="1" a="1"/>
  <c r="O131" i="1" a="1"/>
  <c r="J138" i="1" a="1"/>
  <c r="J143" i="1" a="1"/>
  <c r="Q164" i="1" a="1"/>
  <c r="N166" i="1" a="1"/>
  <c r="Q168" i="1" a="1"/>
  <c r="Q170" i="1" a="1"/>
  <c r="N174" i="1" a="1"/>
  <c r="K176" i="1" a="1"/>
  <c r="O179" i="1" a="1"/>
  <c r="Q186" i="1" a="1"/>
  <c r="R188" i="1" a="1"/>
  <c r="L190" i="1" a="1"/>
  <c r="L193" i="1" a="1"/>
  <c r="M195" i="1" a="1"/>
  <c r="M198" i="1" a="1"/>
  <c r="N201" i="1" a="1"/>
  <c r="Q204" i="1" a="1"/>
  <c r="O207" i="1" a="1"/>
  <c r="O209" i="1" a="1"/>
  <c r="R216" i="1" a="1"/>
  <c r="N218" i="1" a="1"/>
  <c r="K219" i="1" a="1"/>
  <c r="R219" i="1" a="1"/>
  <c r="O220" i="1" a="1"/>
  <c r="M221" i="1" a="1"/>
  <c r="K222" i="1" a="1"/>
  <c r="Q222" i="1" a="1"/>
  <c r="J224" i="1" a="1"/>
  <c r="R226" i="1" a="1"/>
  <c r="O227" i="1" a="1"/>
  <c r="Q229" i="1" a="1"/>
  <c r="J231" i="1" a="1"/>
  <c r="R231" i="1" a="1"/>
  <c r="K224" i="1" a="1"/>
  <c r="N225" i="1" a="1"/>
  <c r="N228" i="1" a="1"/>
  <c r="J167" i="1" a="1"/>
  <c r="L178" i="1" a="1"/>
  <c r="K189" i="1" a="1"/>
  <c r="K217" i="1" a="1"/>
  <c r="L222" i="1" a="1"/>
  <c r="R227" i="1" a="1"/>
  <c r="R167" i="1" a="1"/>
  <c r="Q200" i="1" a="1"/>
  <c r="M217" i="1" a="1"/>
  <c r="J221" i="1" a="1"/>
  <c r="K230" i="1" a="1"/>
  <c r="O70" i="1" a="1"/>
  <c r="N75" i="1" a="1"/>
  <c r="K79" i="1" a="1"/>
  <c r="M83" i="1" a="1"/>
  <c r="K87" i="1" a="1"/>
  <c r="J91" i="1" a="1"/>
  <c r="O104" i="1" a="1"/>
  <c r="Q112" i="1" a="1"/>
  <c r="R116" i="1" a="1"/>
  <c r="N128" i="1" a="1"/>
  <c r="O143" i="1" a="1"/>
  <c r="K148" i="1" a="1"/>
  <c r="K152" i="1" a="1"/>
  <c r="J160" i="1" a="1"/>
  <c r="R172" i="1" a="1"/>
  <c r="Q174" i="1" a="1"/>
  <c r="Q176" i="1" a="1"/>
  <c r="K178" i="1" a="1"/>
  <c r="M181" i="1" a="1"/>
  <c r="K183" i="1" a="1"/>
  <c r="K185" i="1" a="1"/>
  <c r="N190" i="1" a="1"/>
  <c r="N193" i="1" a="1"/>
  <c r="J197" i="1" a="1"/>
  <c r="R198" i="1" a="1"/>
  <c r="J200" i="1" a="1"/>
  <c r="Q201" i="1" a="1"/>
  <c r="M203" i="1" a="1"/>
  <c r="R204" i="1" a="1"/>
  <c r="K206" i="1" a="1"/>
  <c r="Q209" i="1" a="1"/>
  <c r="K211" i="1" a="1"/>
  <c r="L214" i="1" a="1"/>
  <c r="R215" i="1" a="1"/>
  <c r="R217" i="1" a="1"/>
  <c r="L219" i="1" a="1"/>
  <c r="Q220" i="1" a="1"/>
  <c r="N221" i="1" a="1"/>
  <c r="M223" i="1" a="1"/>
  <c r="R224" i="1" a="1"/>
  <c r="K226" i="1" a="1"/>
  <c r="J229" i="1" a="1"/>
  <c r="O83" i="1" a="1"/>
  <c r="Q121" i="1" a="1"/>
  <c r="O139" i="1" a="1"/>
  <c r="N169" i="1" a="1"/>
  <c r="R176" i="1" a="1"/>
  <c r="K187" i="1" a="1"/>
  <c r="K208" i="1" a="1"/>
  <c r="R220" i="1" a="1"/>
  <c r="N223" i="1" a="1"/>
  <c r="L231" i="1" a="1"/>
  <c r="Q173" i="1" a="1"/>
  <c r="M180" i="1" a="1"/>
  <c r="M192" i="1" a="1"/>
  <c r="R206" i="1" a="1"/>
  <c r="M216" i="1" a="1"/>
  <c r="R221" i="1" a="1"/>
  <c r="K225" i="1" a="1"/>
  <c r="O67" i="1" a="1"/>
  <c r="J76" i="1" a="1"/>
  <c r="R88" i="1" a="1"/>
  <c r="J92" i="1" a="1"/>
  <c r="O109" i="1" a="1"/>
  <c r="K113" i="1" a="1"/>
  <c r="K125" i="1" a="1"/>
  <c r="O129" i="1" a="1"/>
  <c r="O163" i="1" a="1"/>
  <c r="M165" i="1" a="1"/>
  <c r="L167" i="1" a="1"/>
  <c r="O169" i="1" a="1"/>
  <c r="L171" i="1" a="1"/>
  <c r="K173" i="1" a="1"/>
  <c r="K175" i="1" a="1"/>
  <c r="M178" i="1" a="1"/>
  <c r="L180" i="1" a="1"/>
  <c r="M183" i="1" a="1"/>
  <c r="Q185" i="1" a="1"/>
  <c r="L187" i="1" a="1"/>
  <c r="O189" i="1" a="1"/>
  <c r="J191" i="1" a="1"/>
  <c r="L192" i="1" a="1"/>
  <c r="J194" i="1" a="1"/>
  <c r="K202" i="1" a="1"/>
  <c r="O203" i="1" a="1"/>
  <c r="J205" i="1" a="1"/>
  <c r="Q206" i="1" a="1"/>
  <c r="L208" i="1" a="1"/>
  <c r="Q211" i="1" a="1"/>
  <c r="O214" i="1" a="1"/>
  <c r="J216" i="1" a="1"/>
  <c r="L217" i="1" a="1"/>
  <c r="M219" i="1" a="1"/>
  <c r="K220" i="1" a="1"/>
  <c r="Q221" i="1" a="1"/>
  <c r="L224" i="1" a="1"/>
  <c r="J225" i="1" a="1"/>
  <c r="Q225" i="1" a="1"/>
  <c r="M226" i="1" a="1"/>
  <c r="K227" i="1" a="1"/>
  <c r="O228" i="1" a="1"/>
  <c r="L229" i="1" a="1"/>
  <c r="J230" i="1" a="1"/>
  <c r="O230" i="1" a="1"/>
  <c r="M231" i="1" a="1"/>
  <c r="L72" i="1" a="1"/>
  <c r="Q92" i="1" a="1"/>
  <c r="O101" i="1" a="1"/>
  <c r="N118" i="1" a="1"/>
  <c r="K122" i="1" a="1"/>
  <c r="K133" i="1" a="1"/>
  <c r="L145" i="1" a="1"/>
  <c r="J161" i="1" a="1"/>
  <c r="Q163" i="1" a="1"/>
  <c r="R169" i="1" a="1"/>
  <c r="L175" i="1" a="1"/>
  <c r="N187" i="1" a="1"/>
  <c r="M205" i="1" a="1"/>
  <c r="J218" i="1" a="1"/>
  <c r="M222" i="1" a="1"/>
  <c r="L227" i="1" a="1"/>
  <c r="L227" i="1" l="1"/>
  <c r="M222" i="1"/>
  <c r="J218" i="1"/>
  <c r="M205" i="1"/>
  <c r="N187" i="1"/>
  <c r="L175" i="1"/>
  <c r="R169" i="1"/>
  <c r="Q163" i="1"/>
  <c r="J161" i="1"/>
  <c r="L145" i="1"/>
  <c r="K133" i="1"/>
  <c r="K122" i="1"/>
  <c r="N118" i="1"/>
  <c r="O101" i="1"/>
  <c r="Q92" i="1"/>
  <c r="L72" i="1"/>
  <c r="M231" i="1"/>
  <c r="O230" i="1"/>
  <c r="J230" i="1"/>
  <c r="L229" i="1"/>
  <c r="O228" i="1"/>
  <c r="K227" i="1"/>
  <c r="M226" i="1"/>
  <c r="Q225" i="1"/>
  <c r="J225" i="1"/>
  <c r="L224" i="1"/>
  <c r="Q221" i="1"/>
  <c r="K220" i="1"/>
  <c r="M219" i="1"/>
  <c r="L217" i="1"/>
  <c r="J216" i="1"/>
  <c r="O214" i="1"/>
  <c r="Q211" i="1"/>
  <c r="L208" i="1"/>
  <c r="Q206" i="1"/>
  <c r="J205" i="1"/>
  <c r="O203" i="1"/>
  <c r="K202" i="1"/>
  <c r="J194" i="1"/>
  <c r="L192" i="1"/>
  <c r="J191" i="1"/>
  <c r="O189" i="1"/>
  <c r="L187" i="1"/>
  <c r="Q185" i="1"/>
  <c r="M183" i="1"/>
  <c r="L180" i="1"/>
  <c r="M178" i="1"/>
  <c r="K175" i="1"/>
  <c r="K173" i="1"/>
  <c r="L171" i="1"/>
  <c r="O169" i="1"/>
  <c r="L167" i="1"/>
  <c r="M165" i="1"/>
  <c r="O163" i="1"/>
  <c r="O129" i="1"/>
  <c r="K125" i="1"/>
  <c r="K113" i="1"/>
  <c r="O109" i="1"/>
  <c r="J92" i="1"/>
  <c r="R88" i="1"/>
  <c r="J76" i="1"/>
  <c r="O67" i="1"/>
  <c r="K225" i="1"/>
  <c r="R221" i="1"/>
  <c r="M216" i="1"/>
  <c r="R206" i="1"/>
  <c r="M192" i="1"/>
  <c r="M180" i="1"/>
  <c r="Q173" i="1"/>
  <c r="L231" i="1"/>
  <c r="N223" i="1"/>
  <c r="R220" i="1"/>
  <c r="K208" i="1"/>
  <c r="K187" i="1"/>
  <c r="R176" i="1"/>
  <c r="N169" i="1"/>
  <c r="O139" i="1"/>
  <c r="Q121" i="1"/>
  <c r="O83" i="1"/>
  <c r="J229" i="1"/>
  <c r="K226" i="1"/>
  <c r="R224" i="1"/>
  <c r="M223" i="1"/>
  <c r="N221" i="1"/>
  <c r="Q220" i="1"/>
  <c r="L219" i="1"/>
  <c r="R217" i="1"/>
  <c r="R215" i="1"/>
  <c r="L214" i="1"/>
  <c r="K211" i="1"/>
  <c r="Q209" i="1"/>
  <c r="K206" i="1"/>
  <c r="R204" i="1"/>
  <c r="M203" i="1"/>
  <c r="Q201" i="1"/>
  <c r="J200" i="1"/>
  <c r="R198" i="1"/>
  <c r="J197" i="1"/>
  <c r="N193" i="1"/>
  <c r="N190" i="1"/>
  <c r="K185" i="1"/>
  <c r="K183" i="1"/>
  <c r="M181" i="1"/>
  <c r="K178" i="1"/>
  <c r="Q176" i="1"/>
  <c r="Q174" i="1"/>
  <c r="R172" i="1"/>
  <c r="J160" i="1"/>
  <c r="K152" i="1"/>
  <c r="K148" i="1"/>
  <c r="O143" i="1"/>
  <c r="N128" i="1"/>
  <c r="R116" i="1"/>
  <c r="Q112" i="1"/>
  <c r="O104" i="1"/>
  <c r="J91" i="1"/>
  <c r="K87" i="1"/>
  <c r="M83" i="1"/>
  <c r="K79" i="1"/>
  <c r="N75" i="1"/>
  <c r="O70" i="1"/>
  <c r="K230" i="1"/>
  <c r="J221" i="1"/>
  <c r="M217" i="1"/>
  <c r="Q200" i="1"/>
  <c r="R167" i="1"/>
  <c r="R227" i="1"/>
  <c r="L222" i="1"/>
  <c r="K217" i="1"/>
  <c r="K189" i="1"/>
  <c r="L178" i="1"/>
  <c r="J167" i="1"/>
  <c r="N228" i="1"/>
  <c r="N225" i="1"/>
  <c r="K224" i="1"/>
  <c r="R231" i="1"/>
  <c r="J231" i="1"/>
  <c r="Q229" i="1"/>
  <c r="O227" i="1"/>
  <c r="R226" i="1"/>
  <c r="J224" i="1"/>
  <c r="Q222" i="1"/>
  <c r="K222" i="1"/>
  <c r="M221" i="1"/>
  <c r="O220" i="1"/>
  <c r="R219" i="1"/>
  <c r="K219" i="1"/>
  <c r="N218" i="1"/>
  <c r="R216" i="1"/>
  <c r="O209" i="1"/>
  <c r="O207" i="1"/>
  <c r="Q204" i="1"/>
  <c r="N201" i="1"/>
  <c r="M198" i="1"/>
  <c r="M195" i="1"/>
  <c r="L193" i="1"/>
  <c r="L190" i="1"/>
  <c r="R188" i="1"/>
  <c r="Q186" i="1"/>
  <c r="O179" i="1"/>
  <c r="K176" i="1"/>
  <c r="N174" i="1"/>
  <c r="Q170" i="1"/>
  <c r="Q168" i="1"/>
  <c r="N166" i="1"/>
  <c r="Q164" i="1"/>
  <c r="J143" i="1"/>
  <c r="J138" i="1"/>
  <c r="O131" i="1"/>
  <c r="K120" i="1"/>
  <c r="K116" i="1"/>
  <c r="N99" i="1"/>
  <c r="M94" i="1"/>
  <c r="N231" i="1"/>
  <c r="N226" i="1"/>
  <c r="J223" i="1"/>
  <c r="Q218" i="1"/>
  <c r="K210" i="1"/>
  <c r="Q197" i="1"/>
  <c r="N171" i="1"/>
  <c r="K229" i="1"/>
  <c r="L226" i="1"/>
  <c r="J220" i="1"/>
  <c r="K200" i="1"/>
  <c r="R181" i="1"/>
  <c r="L165" i="1"/>
  <c r="N230" i="1"/>
  <c r="M230" i="1"/>
  <c r="N227" i="1"/>
  <c r="J226" i="1"/>
  <c r="Q224" i="1"/>
  <c r="L223" i="1"/>
  <c r="J222" i="1"/>
  <c r="L221" i="1"/>
  <c r="N220" i="1"/>
  <c r="Q219" i="1"/>
  <c r="L218" i="1"/>
  <c r="O217" i="1"/>
  <c r="Q216" i="1"/>
  <c r="M215" i="1"/>
  <c r="R213" i="1"/>
  <c r="L212" i="1"/>
  <c r="R210" i="1"/>
  <c r="L209" i="1"/>
  <c r="L204" i="1"/>
  <c r="M201" i="1"/>
  <c r="K198" i="1"/>
  <c r="R196" i="1"/>
  <c r="K193" i="1"/>
  <c r="Q191" i="1"/>
  <c r="L188" i="1"/>
  <c r="N186" i="1"/>
  <c r="R184" i="1"/>
  <c r="K181" i="1"/>
  <c r="N179" i="1"/>
  <c r="O177" i="1"/>
  <c r="M174" i="1"/>
  <c r="K172" i="1"/>
  <c r="N170" i="1"/>
  <c r="O168" i="1"/>
  <c r="L166" i="1"/>
  <c r="N164" i="1"/>
  <c r="R162" i="1"/>
  <c r="Q159" i="1"/>
  <c r="J131" i="1"/>
  <c r="O111" i="1"/>
  <c r="K103" i="1"/>
  <c r="O90" i="1"/>
  <c r="O86" i="1"/>
  <c r="M74" i="1"/>
  <c r="J69" i="1"/>
  <c r="J228" i="1"/>
  <c r="O223" i="1"/>
  <c r="N219" i="1"/>
  <c r="N208" i="1"/>
  <c r="J177" i="1"/>
  <c r="J227" i="1"/>
  <c r="R222" i="1"/>
  <c r="O218" i="1"/>
  <c r="R209" i="1"/>
  <c r="O195" i="1"/>
  <c r="L183" i="1"/>
  <c r="J163" i="1"/>
  <c r="K231" i="1"/>
  <c r="Q227" i="1"/>
  <c r="O229" i="1"/>
  <c r="M225" i="1"/>
  <c r="O222" i="1"/>
  <c r="R230" i="1"/>
  <c r="N229" i="1"/>
  <c r="R228" i="1"/>
  <c r="L228" i="1"/>
  <c r="M227" i="1"/>
  <c r="O226" i="1"/>
  <c r="L225" i="1"/>
  <c r="O224" i="1"/>
  <c r="R223" i="1"/>
  <c r="K223" i="1"/>
  <c r="N222" i="1"/>
  <c r="M220" i="1"/>
  <c r="K218" i="1"/>
  <c r="N217" i="1"/>
  <c r="O216" i="1"/>
  <c r="K215" i="1"/>
  <c r="O213" i="1"/>
  <c r="M210" i="1"/>
  <c r="J209" i="1"/>
  <c r="M207" i="1"/>
  <c r="Q205" i="1"/>
  <c r="Q202" i="1"/>
  <c r="N199" i="1"/>
  <c r="Q196" i="1"/>
  <c r="O191" i="1"/>
  <c r="J188" i="1"/>
  <c r="M186" i="1"/>
  <c r="L184" i="1"/>
  <c r="J172" i="1"/>
  <c r="M170" i="1"/>
  <c r="K166" i="1"/>
  <c r="M164" i="1"/>
  <c r="K162" i="1"/>
  <c r="O155" i="1"/>
  <c r="Q146" i="1"/>
  <c r="M137" i="1"/>
  <c r="M134" i="1"/>
  <c r="Q126" i="1"/>
  <c r="O123" i="1"/>
  <c r="J111" i="1"/>
  <c r="Q81" i="1"/>
  <c r="R77" i="1"/>
  <c r="Q230" i="1"/>
  <c r="M224" i="1"/>
  <c r="L220" i="1"/>
  <c r="J213" i="1"/>
  <c r="J199" i="1"/>
  <c r="O165" i="1"/>
  <c r="O225" i="1"/>
  <c r="O221" i="1"/>
  <c r="M214" i="1"/>
  <c r="N197" i="1"/>
  <c r="O185" i="1"/>
  <c r="K171" i="1"/>
  <c r="R160" i="1"/>
  <c r="Q136" i="1"/>
  <c r="R229" i="1"/>
  <c r="Q231" i="1"/>
  <c r="M228" i="1"/>
  <c r="Q226" i="1"/>
  <c r="O231" i="1"/>
  <c r="L230" i="1"/>
  <c r="M229" i="1"/>
  <c r="Q228" i="1"/>
  <c r="K228" i="1"/>
  <c r="R225" i="1"/>
  <c r="N224" i="1"/>
  <c r="Q223" i="1"/>
  <c r="K221" i="1"/>
  <c r="O219" i="1"/>
  <c r="R218" i="1"/>
  <c r="N216" i="1"/>
  <c r="N213" i="1"/>
  <c r="L210" i="1"/>
  <c r="N205" i="1"/>
  <c r="J204" i="1"/>
  <c r="R200" i="1"/>
  <c r="K196" i="1"/>
  <c r="Q194" i="1"/>
  <c r="O192" i="1"/>
  <c r="R189" i="1"/>
  <c r="J184" i="1"/>
  <c r="N182" i="1"/>
  <c r="O180" i="1"/>
  <c r="R178" i="1"/>
  <c r="M177" i="1"/>
  <c r="N175" i="1"/>
  <c r="R173" i="1"/>
  <c r="R158" i="1"/>
  <c r="M150" i="1"/>
  <c r="K141" i="1"/>
  <c r="K130" i="1"/>
  <c r="K89" i="1"/>
  <c r="K81" i="1"/>
  <c r="O68" i="1"/>
  <c r="L215" i="1"/>
  <c r="N214" i="1"/>
  <c r="Q213" i="1"/>
  <c r="M212" i="1"/>
  <c r="R211" i="1"/>
  <c r="J211" i="1"/>
  <c r="K209" i="1"/>
  <c r="M208" i="1"/>
  <c r="N207" i="1"/>
  <c r="L206" i="1"/>
  <c r="O205" i="1"/>
  <c r="K204" i="1"/>
  <c r="N203" i="1"/>
  <c r="R202" i="1"/>
  <c r="L202" i="1"/>
  <c r="O201" i="1"/>
  <c r="L200" i="1"/>
  <c r="O199" i="1"/>
  <c r="L198" i="1"/>
  <c r="O197" i="1"/>
  <c r="J196" i="1"/>
  <c r="N195" i="1"/>
  <c r="R194" i="1"/>
  <c r="K194" i="1"/>
  <c r="M193" i="1"/>
  <c r="N192" i="1"/>
  <c r="R191" i="1"/>
  <c r="K191" i="1"/>
  <c r="M190" i="1"/>
  <c r="Q189" i="1"/>
  <c r="J189" i="1"/>
  <c r="K188" i="1"/>
  <c r="M187" i="1"/>
  <c r="O186" i="1"/>
  <c r="R185" i="1"/>
  <c r="J185" i="1"/>
  <c r="K184" i="1"/>
  <c r="O182" i="1"/>
  <c r="J182" i="1"/>
  <c r="L181" i="1"/>
  <c r="N180" i="1"/>
  <c r="Q179" i="1"/>
  <c r="N177" i="1"/>
  <c r="J176" i="1"/>
  <c r="M175" i="1"/>
  <c r="O174" i="1"/>
  <c r="J173" i="1"/>
  <c r="L172" i="1"/>
  <c r="M171" i="1"/>
  <c r="O170" i="1"/>
  <c r="Q169" i="1"/>
  <c r="R168" i="1"/>
  <c r="J168" i="1"/>
  <c r="K167" i="1"/>
  <c r="M166" i="1"/>
  <c r="N165" i="1"/>
  <c r="O164" i="1"/>
  <c r="R163" i="1"/>
  <c r="J162" i="1"/>
  <c r="Q158" i="1"/>
  <c r="M157" i="1"/>
  <c r="Q155" i="1"/>
  <c r="R153" i="1"/>
  <c r="L150" i="1"/>
  <c r="M148" i="1"/>
  <c r="J145" i="1"/>
  <c r="N143" i="1"/>
  <c r="M141" i="1"/>
  <c r="Q139" i="1"/>
  <c r="N136" i="1"/>
  <c r="N134" i="1"/>
  <c r="N131" i="1"/>
  <c r="K128" i="1"/>
  <c r="N126" i="1"/>
  <c r="J125" i="1"/>
  <c r="Q123" i="1"/>
  <c r="M118" i="1"/>
  <c r="M116" i="1"/>
  <c r="Q114" i="1"/>
  <c r="M109" i="1"/>
  <c r="J108" i="1"/>
  <c r="O106" i="1"/>
  <c r="J103" i="1"/>
  <c r="Q99" i="1"/>
  <c r="R97" i="1"/>
  <c r="M96" i="1"/>
  <c r="K94" i="1"/>
  <c r="O92" i="1"/>
  <c r="O81" i="1"/>
  <c r="L79" i="1"/>
  <c r="O77" i="1"/>
  <c r="J74" i="1"/>
  <c r="N72" i="1"/>
  <c r="Q70" i="1"/>
  <c r="K67" i="1"/>
  <c r="Q161" i="1"/>
  <c r="O160" i="1"/>
  <c r="O159" i="1"/>
  <c r="K158" i="1"/>
  <c r="N155" i="1"/>
  <c r="J148" i="1"/>
  <c r="O146" i="1"/>
  <c r="M144" i="1"/>
  <c r="J141" i="1"/>
  <c r="N139" i="1"/>
  <c r="K137" i="1"/>
  <c r="K136" i="1"/>
  <c r="N132" i="1"/>
  <c r="M129" i="1"/>
  <c r="R127" i="1"/>
  <c r="J126" i="1"/>
  <c r="K123" i="1"/>
  <c r="N121" i="1"/>
  <c r="M119" i="1"/>
  <c r="R117" i="1"/>
  <c r="J116" i="1"/>
  <c r="K114" i="1"/>
  <c r="N112" i="1"/>
  <c r="N107" i="1"/>
  <c r="J106" i="1"/>
  <c r="N104" i="1"/>
  <c r="N102" i="1"/>
  <c r="L97" i="1"/>
  <c r="Q95" i="1"/>
  <c r="M90" i="1"/>
  <c r="L88" i="1"/>
  <c r="M86" i="1"/>
  <c r="R84" i="1"/>
  <c r="M75" i="1"/>
  <c r="R73" i="1"/>
  <c r="K72" i="1"/>
  <c r="J70" i="1"/>
  <c r="M68" i="1"/>
  <c r="Q215" i="1"/>
  <c r="J215" i="1"/>
  <c r="K214" i="1"/>
  <c r="M213" i="1"/>
  <c r="R212" i="1"/>
  <c r="K212" i="1"/>
  <c r="O211" i="1"/>
  <c r="Q210" i="1"/>
  <c r="R208" i="1"/>
  <c r="J208" i="1"/>
  <c r="L207" i="1"/>
  <c r="O206" i="1"/>
  <c r="J206" i="1"/>
  <c r="L205" i="1"/>
  <c r="O204" i="1"/>
  <c r="L203" i="1"/>
  <c r="J202" i="1"/>
  <c r="L201" i="1"/>
  <c r="O200" i="1"/>
  <c r="M199" i="1"/>
  <c r="Q198" i="1"/>
  <c r="J198" i="1"/>
  <c r="M197" i="1"/>
  <c r="O196" i="1"/>
  <c r="R195" i="1"/>
  <c r="L195" i="1"/>
  <c r="O194" i="1"/>
  <c r="R193" i="1"/>
  <c r="J193" i="1"/>
  <c r="K192" i="1"/>
  <c r="N191" i="1"/>
  <c r="K190" i="1"/>
  <c r="N189" i="1"/>
  <c r="Q188" i="1"/>
  <c r="R187" i="1"/>
  <c r="L186" i="1"/>
  <c r="N185" i="1"/>
  <c r="Q184" i="1"/>
  <c r="R183" i="1"/>
  <c r="J183" i="1"/>
  <c r="M182" i="1"/>
  <c r="Q181" i="1"/>
  <c r="J181" i="1"/>
  <c r="K180" i="1"/>
  <c r="M179" i="1"/>
  <c r="Q178" i="1"/>
  <c r="J178" i="1"/>
  <c r="O176" i="1"/>
  <c r="R175" i="1"/>
  <c r="L174" i="1"/>
  <c r="O173" i="1"/>
  <c r="Q172" i="1"/>
  <c r="J171" i="1"/>
  <c r="L170" i="1"/>
  <c r="M169" i="1"/>
  <c r="N168" i="1"/>
  <c r="Q167" i="1"/>
  <c r="R166" i="1"/>
  <c r="J166" i="1"/>
  <c r="K165" i="1"/>
  <c r="N163" i="1"/>
  <c r="O162" i="1"/>
  <c r="N161" i="1"/>
  <c r="N160" i="1"/>
  <c r="N159" i="1"/>
  <c r="J158" i="1"/>
  <c r="R156" i="1"/>
  <c r="L153" i="1"/>
  <c r="L151" i="1"/>
  <c r="O149" i="1"/>
  <c r="J146" i="1"/>
  <c r="R142" i="1"/>
  <c r="J137" i="1"/>
  <c r="M132" i="1"/>
  <c r="R130" i="1"/>
  <c r="L129" i="1"/>
  <c r="M127" i="1"/>
  <c r="M121" i="1"/>
  <c r="O117" i="1"/>
  <c r="M112" i="1"/>
  <c r="M110" i="1"/>
  <c r="R108" i="1"/>
  <c r="M107" i="1"/>
  <c r="K104" i="1"/>
  <c r="M102" i="1"/>
  <c r="R100" i="1"/>
  <c r="O95" i="1"/>
  <c r="Q93" i="1"/>
  <c r="R91" i="1"/>
  <c r="J88" i="1"/>
  <c r="L86" i="1"/>
  <c r="L84" i="1"/>
  <c r="R82" i="1"/>
  <c r="R80" i="1"/>
  <c r="O78" i="1"/>
  <c r="L75" i="1"/>
  <c r="L68" i="1"/>
  <c r="J219" i="1"/>
  <c r="M218" i="1"/>
  <c r="Q217" i="1"/>
  <c r="J217" i="1"/>
  <c r="O215" i="1"/>
  <c r="J214" i="1"/>
  <c r="L213" i="1"/>
  <c r="Q212" i="1"/>
  <c r="N211" i="1"/>
  <c r="J210" i="1"/>
  <c r="N209" i="1"/>
  <c r="R203" i="1"/>
  <c r="O202" i="1"/>
  <c r="K201" i="1"/>
  <c r="N200" i="1"/>
  <c r="L199" i="1"/>
  <c r="O198" i="1"/>
  <c r="L197" i="1"/>
  <c r="N196" i="1"/>
  <c r="N194" i="1"/>
  <c r="Q193" i="1"/>
  <c r="J192" i="1"/>
  <c r="M191" i="1"/>
  <c r="R190" i="1"/>
  <c r="J190" i="1"/>
  <c r="M189" i="1"/>
  <c r="O188" i="1"/>
  <c r="Q187" i="1"/>
  <c r="J187" i="1"/>
  <c r="K186" i="1"/>
  <c r="O184" i="1"/>
  <c r="Q183" i="1"/>
  <c r="L182" i="1"/>
  <c r="J180" i="1"/>
  <c r="L179" i="1"/>
  <c r="O178" i="1"/>
  <c r="L177" i="1"/>
  <c r="N176" i="1"/>
  <c r="J175" i="1"/>
  <c r="N173" i="1"/>
  <c r="O172" i="1"/>
  <c r="R171" i="1"/>
  <c r="K170" i="1"/>
  <c r="L169" i="1"/>
  <c r="M168" i="1"/>
  <c r="O167" i="1"/>
  <c r="Q166" i="1"/>
  <c r="J165" i="1"/>
  <c r="L164" i="1"/>
  <c r="M163" i="1"/>
  <c r="N162" i="1"/>
  <c r="M161" i="1"/>
  <c r="M160" i="1"/>
  <c r="M159" i="1"/>
  <c r="M156" i="1"/>
  <c r="R154" i="1"/>
  <c r="K151" i="1"/>
  <c r="O147" i="1"/>
  <c r="K144" i="1"/>
  <c r="Q142" i="1"/>
  <c r="N140" i="1"/>
  <c r="R138" i="1"/>
  <c r="R135" i="1"/>
  <c r="L132" i="1"/>
  <c r="Q130" i="1"/>
  <c r="L127" i="1"/>
  <c r="Q124" i="1"/>
  <c r="R122" i="1"/>
  <c r="K119" i="1"/>
  <c r="O115" i="1"/>
  <c r="R113" i="1"/>
  <c r="K110" i="1"/>
  <c r="L107" i="1"/>
  <c r="M105" i="1"/>
  <c r="L102" i="1"/>
  <c r="M100" i="1"/>
  <c r="Q98" i="1"/>
  <c r="J97" i="1"/>
  <c r="K95" i="1"/>
  <c r="N93" i="1"/>
  <c r="Q91" i="1"/>
  <c r="K84" i="1"/>
  <c r="O82" i="1"/>
  <c r="L80" i="1"/>
  <c r="M78" i="1"/>
  <c r="R76" i="1"/>
  <c r="L73" i="1"/>
  <c r="Q71" i="1"/>
  <c r="R69" i="1"/>
  <c r="L216" i="1"/>
  <c r="R214" i="1"/>
  <c r="O212" i="1"/>
  <c r="J212" i="1"/>
  <c r="M211" i="1"/>
  <c r="O210" i="1"/>
  <c r="M209" i="1"/>
  <c r="Q208" i="1"/>
  <c r="R207" i="1"/>
  <c r="K207" i="1"/>
  <c r="N206" i="1"/>
  <c r="R205" i="1"/>
  <c r="K205" i="1"/>
  <c r="N204" i="1"/>
  <c r="K203" i="1"/>
  <c r="N202" i="1"/>
  <c r="R201" i="1"/>
  <c r="R199" i="1"/>
  <c r="K199" i="1"/>
  <c r="N198" i="1"/>
  <c r="R197" i="1"/>
  <c r="K197" i="1"/>
  <c r="M196" i="1"/>
  <c r="Q195" i="1"/>
  <c r="K195" i="1"/>
  <c r="M194" i="1"/>
  <c r="O193" i="1"/>
  <c r="R192" i="1"/>
  <c r="Q190" i="1"/>
  <c r="L189" i="1"/>
  <c r="N188" i="1"/>
  <c r="O187" i="1"/>
  <c r="J186" i="1"/>
  <c r="M185" i="1"/>
  <c r="N184" i="1"/>
  <c r="O183" i="1"/>
  <c r="R182" i="1"/>
  <c r="O181" i="1"/>
  <c r="R180" i="1"/>
  <c r="K179" i="1"/>
  <c r="N178" i="1"/>
  <c r="R177" i="1"/>
  <c r="M176" i="1"/>
  <c r="Q175" i="1"/>
  <c r="K174" i="1"/>
  <c r="M173" i="1"/>
  <c r="N172" i="1"/>
  <c r="Q171" i="1"/>
  <c r="J170" i="1"/>
  <c r="K169" i="1"/>
  <c r="L168" i="1"/>
  <c r="N167" i="1"/>
  <c r="R165" i="1"/>
  <c r="K164" i="1"/>
  <c r="L163" i="1"/>
  <c r="M162" i="1"/>
  <c r="L161" i="1"/>
  <c r="L160" i="1"/>
  <c r="L159" i="1"/>
  <c r="R157" i="1"/>
  <c r="K156" i="1"/>
  <c r="Q154" i="1"/>
  <c r="Q152" i="1"/>
  <c r="M147" i="1"/>
  <c r="R145" i="1"/>
  <c r="L142" i="1"/>
  <c r="Q138" i="1"/>
  <c r="L135" i="1"/>
  <c r="Q133" i="1"/>
  <c r="M130" i="1"/>
  <c r="R128" i="1"/>
  <c r="K127" i="1"/>
  <c r="R125" i="1"/>
  <c r="M122" i="1"/>
  <c r="R120" i="1"/>
  <c r="M115" i="1"/>
  <c r="M113" i="1"/>
  <c r="O108" i="1"/>
  <c r="L105" i="1"/>
  <c r="R103" i="1"/>
  <c r="O98" i="1"/>
  <c r="M93" i="1"/>
  <c r="L91" i="1"/>
  <c r="Q89" i="1"/>
  <c r="R85" i="1"/>
  <c r="N82" i="1"/>
  <c r="J80" i="1"/>
  <c r="L78" i="1"/>
  <c r="L76" i="1"/>
  <c r="Q74" i="1"/>
  <c r="N71" i="1"/>
  <c r="R67" i="1"/>
  <c r="K216" i="1"/>
  <c r="N215" i="1"/>
  <c r="Q214" i="1"/>
  <c r="K213" i="1"/>
  <c r="N212" i="1"/>
  <c r="L211" i="1"/>
  <c r="N210" i="1"/>
  <c r="O208" i="1"/>
  <c r="Q207" i="1"/>
  <c r="J207" i="1"/>
  <c r="M206" i="1"/>
  <c r="M204" i="1"/>
  <c r="Q203" i="1"/>
  <c r="J203" i="1"/>
  <c r="M202" i="1"/>
  <c r="J201" i="1"/>
  <c r="M200" i="1"/>
  <c r="Q199" i="1"/>
  <c r="L196" i="1"/>
  <c r="J195" i="1"/>
  <c r="L194" i="1"/>
  <c r="Q192" i="1"/>
  <c r="L191" i="1"/>
  <c r="O190" i="1"/>
  <c r="M188" i="1"/>
  <c r="R186" i="1"/>
  <c r="L185" i="1"/>
  <c r="M184" i="1"/>
  <c r="N183" i="1"/>
  <c r="Q182" i="1"/>
  <c r="K182" i="1"/>
  <c r="N181" i="1"/>
  <c r="Q180" i="1"/>
  <c r="R179" i="1"/>
  <c r="J179" i="1"/>
  <c r="Q177" i="1"/>
  <c r="K177" i="1"/>
  <c r="L176" i="1"/>
  <c r="O175" i="1"/>
  <c r="R174" i="1"/>
  <c r="J174" i="1"/>
  <c r="L173" i="1"/>
  <c r="M172" i="1"/>
  <c r="O171" i="1"/>
  <c r="R170" i="1"/>
  <c r="J169" i="1"/>
  <c r="K168" i="1"/>
  <c r="M167" i="1"/>
  <c r="O166" i="1"/>
  <c r="Q165" i="1"/>
  <c r="R164" i="1"/>
  <c r="J164" i="1"/>
  <c r="K163" i="1"/>
  <c r="L162" i="1"/>
  <c r="K161" i="1"/>
  <c r="K160" i="1"/>
  <c r="J156" i="1"/>
  <c r="K154" i="1"/>
  <c r="O152" i="1"/>
  <c r="O150" i="1"/>
  <c r="L147" i="1"/>
  <c r="Q145" i="1"/>
  <c r="Q143" i="1"/>
  <c r="J142" i="1"/>
  <c r="L140" i="1"/>
  <c r="L138" i="1"/>
  <c r="J135" i="1"/>
  <c r="O133" i="1"/>
  <c r="R131" i="1"/>
  <c r="O128" i="1"/>
  <c r="M125" i="1"/>
  <c r="N124" i="1"/>
  <c r="Q120" i="1"/>
  <c r="Q118" i="1"/>
  <c r="L115" i="1"/>
  <c r="L113" i="1"/>
  <c r="Q111" i="1"/>
  <c r="K105" i="1"/>
  <c r="M103" i="1"/>
  <c r="R101" i="1"/>
  <c r="K100" i="1"/>
  <c r="J98" i="1"/>
  <c r="O96" i="1"/>
  <c r="R94" i="1"/>
  <c r="K91" i="1"/>
  <c r="O89" i="1"/>
  <c r="L87" i="1"/>
  <c r="O85" i="1"/>
  <c r="N74" i="1"/>
  <c r="J73" i="1"/>
  <c r="L69" i="1"/>
  <c r="N157" i="1"/>
  <c r="J157" i="1"/>
  <c r="L156" i="1"/>
  <c r="J154" i="1"/>
  <c r="M153" i="1"/>
  <c r="R152" i="1"/>
  <c r="J152" i="1"/>
  <c r="M151" i="1"/>
  <c r="N150" i="1"/>
  <c r="Q149" i="1"/>
  <c r="J149" i="1"/>
  <c r="L148" i="1"/>
  <c r="N147" i="1"/>
  <c r="R146" i="1"/>
  <c r="K145" i="1"/>
  <c r="L144" i="1"/>
  <c r="K142" i="1"/>
  <c r="L141" i="1"/>
  <c r="M140" i="1"/>
  <c r="K138" i="1"/>
  <c r="L137" i="1"/>
  <c r="O136" i="1"/>
  <c r="J136" i="1"/>
  <c r="K135" i="1"/>
  <c r="R133" i="1"/>
  <c r="J133" i="1"/>
  <c r="Q131" i="1"/>
  <c r="L130" i="1"/>
  <c r="N129" i="1"/>
  <c r="Q128" i="1"/>
  <c r="J128" i="1"/>
  <c r="O126" i="1"/>
  <c r="L125" i="1"/>
  <c r="O124" i="1"/>
  <c r="R123" i="1"/>
  <c r="J123" i="1"/>
  <c r="L122" i="1"/>
  <c r="O121" i="1"/>
  <c r="J120" i="1"/>
  <c r="L119" i="1"/>
  <c r="O118" i="1"/>
  <c r="Q117" i="1"/>
  <c r="J117" i="1"/>
  <c r="L116" i="1"/>
  <c r="N115" i="1"/>
  <c r="R114" i="1"/>
  <c r="J114" i="1"/>
  <c r="O112" i="1"/>
  <c r="R111" i="1"/>
  <c r="K111" i="1"/>
  <c r="L110" i="1"/>
  <c r="N109" i="1"/>
  <c r="Q108" i="1"/>
  <c r="K108" i="1"/>
  <c r="Q106" i="1"/>
  <c r="K106" i="1"/>
  <c r="Q104" i="1"/>
  <c r="J104" i="1"/>
  <c r="L103" i="1"/>
  <c r="Q101" i="1"/>
  <c r="J101" i="1"/>
  <c r="L100" i="1"/>
  <c r="O99" i="1"/>
  <c r="R98" i="1"/>
  <c r="K97" i="1"/>
  <c r="N96" i="1"/>
  <c r="R95" i="1"/>
  <c r="J95" i="1"/>
  <c r="L94" i="1"/>
  <c r="O93" i="1"/>
  <c r="R92" i="1"/>
  <c r="N90" i="1"/>
  <c r="R89" i="1"/>
  <c r="J89" i="1"/>
  <c r="K88" i="1"/>
  <c r="M87" i="1"/>
  <c r="N86" i="1"/>
  <c r="Q85" i="1"/>
  <c r="J85" i="1"/>
  <c r="N83" i="1"/>
  <c r="Q82" i="1"/>
  <c r="R81" i="1"/>
  <c r="J81" i="1"/>
  <c r="K80" i="1"/>
  <c r="M79" i="1"/>
  <c r="N78" i="1"/>
  <c r="Q77" i="1"/>
  <c r="J77" i="1"/>
  <c r="K76" i="1"/>
  <c r="O74" i="1"/>
  <c r="K73" i="1"/>
  <c r="M72" i="1"/>
  <c r="O71" i="1"/>
  <c r="R70" i="1"/>
  <c r="K69" i="1"/>
  <c r="N68" i="1"/>
  <c r="Q67" i="1"/>
  <c r="J67" i="1"/>
  <c r="Q162" i="1"/>
  <c r="R161" i="1"/>
  <c r="O158" i="1"/>
  <c r="M155" i="1"/>
  <c r="O154" i="1"/>
  <c r="Q153" i="1"/>
  <c r="R151" i="1"/>
  <c r="J151" i="1"/>
  <c r="K150" i="1"/>
  <c r="N149" i="1"/>
  <c r="R148" i="1"/>
  <c r="N146" i="1"/>
  <c r="O145" i="1"/>
  <c r="R144" i="1"/>
  <c r="J144" i="1"/>
  <c r="O142" i="1"/>
  <c r="R141" i="1"/>
  <c r="K140" i="1"/>
  <c r="M139" i="1"/>
  <c r="O138" i="1"/>
  <c r="R137" i="1"/>
  <c r="M136" i="1"/>
  <c r="Q135" i="1"/>
  <c r="R134" i="1"/>
  <c r="L134" i="1"/>
  <c r="N133" i="1"/>
  <c r="R132" i="1"/>
  <c r="K132" i="1"/>
  <c r="M131" i="1"/>
  <c r="J130" i="1"/>
  <c r="M128" i="1"/>
  <c r="M126" i="1"/>
  <c r="Q125" i="1"/>
  <c r="M124" i="1"/>
  <c r="N123" i="1"/>
  <c r="Q122" i="1"/>
  <c r="J122" i="1"/>
  <c r="O120" i="1"/>
  <c r="R119" i="1"/>
  <c r="J119" i="1"/>
  <c r="L118" i="1"/>
  <c r="N117" i="1"/>
  <c r="Q116" i="1"/>
  <c r="O114" i="1"/>
  <c r="J113" i="1"/>
  <c r="L112" i="1"/>
  <c r="N111" i="1"/>
  <c r="R110" i="1"/>
  <c r="J110" i="1"/>
  <c r="L109" i="1"/>
  <c r="K107" i="1"/>
  <c r="N106" i="1"/>
  <c r="R105" i="1"/>
  <c r="J105" i="1"/>
  <c r="Q103" i="1"/>
  <c r="K102" i="1"/>
  <c r="N101" i="1"/>
  <c r="Q100" i="1"/>
  <c r="M99" i="1"/>
  <c r="N98" i="1"/>
  <c r="Q97" i="1"/>
  <c r="N95" i="1"/>
  <c r="Q94" i="1"/>
  <c r="J94" i="1"/>
  <c r="N92" i="1"/>
  <c r="L90" i="1"/>
  <c r="N89" i="1"/>
  <c r="Q88" i="1"/>
  <c r="R87" i="1"/>
  <c r="J87" i="1"/>
  <c r="K86" i="1"/>
  <c r="N85" i="1"/>
  <c r="Q84" i="1"/>
  <c r="J84" i="1"/>
  <c r="L83" i="1"/>
  <c r="M82" i="1"/>
  <c r="N81" i="1"/>
  <c r="Q80" i="1"/>
  <c r="R79" i="1"/>
  <c r="J79" i="1"/>
  <c r="K78" i="1"/>
  <c r="N77" i="1"/>
  <c r="Q76" i="1"/>
  <c r="K75" i="1"/>
  <c r="L74" i="1"/>
  <c r="Q73" i="1"/>
  <c r="J72" i="1"/>
  <c r="M71" i="1"/>
  <c r="N70" i="1"/>
  <c r="Q69" i="1"/>
  <c r="K68" i="1"/>
  <c r="N67" i="1"/>
  <c r="N158" i="1"/>
  <c r="Q157" i="1"/>
  <c r="L157" i="1"/>
  <c r="Q156" i="1"/>
  <c r="L155" i="1"/>
  <c r="N154" i="1"/>
  <c r="O153" i="1"/>
  <c r="K153" i="1"/>
  <c r="N152" i="1"/>
  <c r="Q151" i="1"/>
  <c r="J150" i="1"/>
  <c r="M149" i="1"/>
  <c r="Q148" i="1"/>
  <c r="R147" i="1"/>
  <c r="K147" i="1"/>
  <c r="M146" i="1"/>
  <c r="Q144" i="1"/>
  <c r="M143" i="1"/>
  <c r="N142" i="1"/>
  <c r="Q141" i="1"/>
  <c r="R140" i="1"/>
  <c r="J140" i="1"/>
  <c r="L139" i="1"/>
  <c r="N138" i="1"/>
  <c r="Q137" i="1"/>
  <c r="O135" i="1"/>
  <c r="K134" i="1"/>
  <c r="M133" i="1"/>
  <c r="Q132" i="1"/>
  <c r="O130" i="1"/>
  <c r="K129" i="1"/>
  <c r="Q127" i="1"/>
  <c r="J127" i="1"/>
  <c r="L126" i="1"/>
  <c r="O125" i="1"/>
  <c r="L124" i="1"/>
  <c r="M123" i="1"/>
  <c r="L121" i="1"/>
  <c r="N120" i="1"/>
  <c r="Q119" i="1"/>
  <c r="K118" i="1"/>
  <c r="M117" i="1"/>
  <c r="O116" i="1"/>
  <c r="R115" i="1"/>
  <c r="K115" i="1"/>
  <c r="N114" i="1"/>
  <c r="Q113" i="1"/>
  <c r="K112" i="1"/>
  <c r="Q110" i="1"/>
  <c r="K109" i="1"/>
  <c r="N108" i="1"/>
  <c r="R107" i="1"/>
  <c r="J107" i="1"/>
  <c r="M106" i="1"/>
  <c r="Q105" i="1"/>
  <c r="M104" i="1"/>
  <c r="O103" i="1"/>
  <c r="R102" i="1"/>
  <c r="M101" i="1"/>
  <c r="O100" i="1"/>
  <c r="J100" i="1"/>
  <c r="L99" i="1"/>
  <c r="M98" i="1"/>
  <c r="O97" i="1"/>
  <c r="R96" i="1"/>
  <c r="L96" i="1"/>
  <c r="O94" i="1"/>
  <c r="L93" i="1"/>
  <c r="M92" i="1"/>
  <c r="O91" i="1"/>
  <c r="R90" i="1"/>
  <c r="M89" i="1"/>
  <c r="O88" i="1"/>
  <c r="Q87" i="1"/>
  <c r="M85" i="1"/>
  <c r="O84" i="1"/>
  <c r="K83" i="1"/>
  <c r="L82" i="1"/>
  <c r="M81" i="1"/>
  <c r="O80" i="1"/>
  <c r="Q79" i="1"/>
  <c r="M77" i="1"/>
  <c r="O76" i="1"/>
  <c r="R75" i="1"/>
  <c r="J75" i="1"/>
  <c r="O73" i="1"/>
  <c r="R72" i="1"/>
  <c r="L71" i="1"/>
  <c r="M70" i="1"/>
  <c r="O69" i="1"/>
  <c r="R68" i="1"/>
  <c r="M67" i="1"/>
  <c r="O161" i="1"/>
  <c r="Q160" i="1"/>
  <c r="K159" i="1"/>
  <c r="M158" i="1"/>
  <c r="O156" i="1"/>
  <c r="R155" i="1"/>
  <c r="K155" i="1"/>
  <c r="M154" i="1"/>
  <c r="M152" i="1"/>
  <c r="O151" i="1"/>
  <c r="R150" i="1"/>
  <c r="L149" i="1"/>
  <c r="O148" i="1"/>
  <c r="Q147" i="1"/>
  <c r="J147" i="1"/>
  <c r="L146" i="1"/>
  <c r="N145" i="1"/>
  <c r="O144" i="1"/>
  <c r="L143" i="1"/>
  <c r="M142" i="1"/>
  <c r="O141" i="1"/>
  <c r="Q140" i="1"/>
  <c r="K139" i="1"/>
  <c r="O137" i="1"/>
  <c r="L136" i="1"/>
  <c r="N135" i="1"/>
  <c r="Q134" i="1"/>
  <c r="J134" i="1"/>
  <c r="L133" i="1"/>
  <c r="O132" i="1"/>
  <c r="J132" i="1"/>
  <c r="L131" i="1"/>
  <c r="R129" i="1"/>
  <c r="J129" i="1"/>
  <c r="L128" i="1"/>
  <c r="O127" i="1"/>
  <c r="K126" i="1"/>
  <c r="N125" i="1"/>
  <c r="K124" i="1"/>
  <c r="L123" i="1"/>
  <c r="O122" i="1"/>
  <c r="R121" i="1"/>
  <c r="K121" i="1"/>
  <c r="M120" i="1"/>
  <c r="O119" i="1"/>
  <c r="J118" i="1"/>
  <c r="L117" i="1"/>
  <c r="Q115" i="1"/>
  <c r="M114" i="1"/>
  <c r="O113" i="1"/>
  <c r="R112" i="1"/>
  <c r="J112" i="1"/>
  <c r="M111" i="1"/>
  <c r="O110" i="1"/>
  <c r="R109" i="1"/>
  <c r="J109" i="1"/>
  <c r="M108" i="1"/>
  <c r="Q107" i="1"/>
  <c r="O105" i="1"/>
  <c r="N103" i="1"/>
  <c r="Q102" i="1"/>
  <c r="J102" i="1"/>
  <c r="L101" i="1"/>
  <c r="K99" i="1"/>
  <c r="L98" i="1"/>
  <c r="N97" i="1"/>
  <c r="K96" i="1"/>
  <c r="M95" i="1"/>
  <c r="N94" i="1"/>
  <c r="R93" i="1"/>
  <c r="K93" i="1"/>
  <c r="L92" i="1"/>
  <c r="N91" i="1"/>
  <c r="Q90" i="1"/>
  <c r="K90" i="1"/>
  <c r="N88" i="1"/>
  <c r="O87" i="1"/>
  <c r="R86" i="1"/>
  <c r="J86" i="1"/>
  <c r="L85" i="1"/>
  <c r="N84" i="1"/>
  <c r="R83" i="1"/>
  <c r="J83" i="1"/>
  <c r="K82" i="1"/>
  <c r="N80" i="1"/>
  <c r="O79" i="1"/>
  <c r="R78" i="1"/>
  <c r="J78" i="1"/>
  <c r="L77" i="1"/>
  <c r="N76" i="1"/>
  <c r="Q75" i="1"/>
  <c r="K74" i="1"/>
  <c r="N73" i="1"/>
  <c r="Q72" i="1"/>
  <c r="K71" i="1"/>
  <c r="L70" i="1"/>
  <c r="N69" i="1"/>
  <c r="J68" i="1"/>
  <c r="L67" i="1"/>
  <c r="R159" i="1"/>
  <c r="J159" i="1"/>
  <c r="L158" i="1"/>
  <c r="O157" i="1"/>
  <c r="K157" i="1"/>
  <c r="N156" i="1"/>
  <c r="J155" i="1"/>
  <c r="L154" i="1"/>
  <c r="N153" i="1"/>
  <c r="J153" i="1"/>
  <c r="L152" i="1"/>
  <c r="N151" i="1"/>
  <c r="Q150" i="1"/>
  <c r="R149" i="1"/>
  <c r="K149" i="1"/>
  <c r="N148" i="1"/>
  <c r="K146" i="1"/>
  <c r="M145" i="1"/>
  <c r="N144" i="1"/>
  <c r="R143" i="1"/>
  <c r="K143" i="1"/>
  <c r="N141" i="1"/>
  <c r="O140" i="1"/>
  <c r="R139" i="1"/>
  <c r="J139" i="1"/>
  <c r="M138" i="1"/>
  <c r="N137" i="1"/>
  <c r="R136" i="1"/>
  <c r="M135" i="1"/>
  <c r="O134" i="1"/>
  <c r="K131" i="1"/>
  <c r="N130" i="1"/>
  <c r="Q129" i="1"/>
  <c r="N127" i="1"/>
  <c r="R126" i="1"/>
  <c r="R124" i="1"/>
  <c r="J124" i="1"/>
  <c r="N122" i="1"/>
  <c r="J121" i="1"/>
  <c r="L120" i="1"/>
  <c r="N119" i="1"/>
  <c r="R118" i="1"/>
  <c r="K117" i="1"/>
  <c r="N116" i="1"/>
  <c r="J115" i="1"/>
  <c r="L114" i="1"/>
  <c r="N113" i="1"/>
  <c r="L111" i="1"/>
  <c r="N110" i="1"/>
  <c r="Q109" i="1"/>
  <c r="L108" i="1"/>
  <c r="O107" i="1"/>
  <c r="R106" i="1"/>
  <c r="L106" i="1"/>
  <c r="N105" i="1"/>
  <c r="R104" i="1"/>
  <c r="L104" i="1"/>
  <c r="O102" i="1"/>
  <c r="K101" i="1"/>
  <c r="N100" i="1"/>
  <c r="R99" i="1"/>
  <c r="J99" i="1"/>
  <c r="K98" i="1"/>
  <c r="M97" i="1"/>
  <c r="Q96" i="1"/>
  <c r="J96" i="1"/>
  <c r="L95" i="1"/>
  <c r="J93" i="1"/>
  <c r="K92" i="1"/>
  <c r="M91" i="1"/>
  <c r="J90" i="1"/>
  <c r="L89" i="1"/>
  <c r="M88" i="1"/>
  <c r="N87" i="1"/>
  <c r="Q86" i="1"/>
  <c r="K85" i="1"/>
  <c r="M84" i="1"/>
  <c r="Q83" i="1"/>
  <c r="J82" i="1"/>
  <c r="L81" i="1"/>
  <c r="M80" i="1"/>
  <c r="N79" i="1"/>
  <c r="Q78" i="1"/>
  <c r="K77" i="1"/>
  <c r="M76" i="1"/>
  <c r="O75" i="1"/>
  <c r="R74" i="1"/>
  <c r="M73" i="1"/>
  <c r="O72" i="1"/>
  <c r="R71" i="1"/>
  <c r="J71" i="1"/>
  <c r="K70" i="1"/>
  <c r="M69" i="1"/>
  <c r="Q68" i="1"/>
  <c r="D33" i="1"/>
  <c r="H33" i="1"/>
  <c r="H41" i="1"/>
  <c r="H49" i="1"/>
  <c r="H57" i="1"/>
  <c r="H65" i="1"/>
  <c r="H42" i="1"/>
  <c r="H50" i="1"/>
  <c r="H58" i="1"/>
  <c r="H66" i="1"/>
  <c r="H43" i="1"/>
  <c r="H51" i="1"/>
  <c r="H59" i="1"/>
  <c r="H44" i="1"/>
  <c r="H60" i="1"/>
  <c r="H46" i="1"/>
  <c r="H34" i="1"/>
  <c r="H52" i="1"/>
  <c r="H37" i="1"/>
  <c r="H53" i="1"/>
  <c r="H62" i="1"/>
  <c r="H47" i="1"/>
  <c r="H40" i="1"/>
  <c r="H35" i="1"/>
  <c r="H61" i="1"/>
  <c r="H39" i="1"/>
  <c r="H56" i="1"/>
  <c r="H36" i="1"/>
  <c r="H45" i="1"/>
  <c r="H38" i="1"/>
  <c r="H54" i="1"/>
  <c r="H55" i="1"/>
  <c r="H63" i="1"/>
  <c r="H48" i="1"/>
  <c r="H64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R232" i="1" a="1"/>
  <c r="J232" i="1" a="1"/>
  <c r="O232" i="1" a="1"/>
  <c r="K232" i="1" a="1"/>
  <c r="L232" i="1" a="1"/>
  <c r="M232" i="1" a="1"/>
  <c r="Q232" i="1" a="1"/>
  <c r="N232" i="1" a="1"/>
  <c r="N232" i="1" l="1"/>
  <c r="Q232" i="1"/>
  <c r="M232" i="1"/>
  <c r="L232" i="1"/>
  <c r="K232" i="1"/>
  <c r="O232" i="1"/>
  <c r="J232" i="1"/>
  <c r="R2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<sst xmlns="http://schemas.openxmlformats.org/spreadsheetml/2006/main" count="78" uniqueCount="55">
  <si>
    <t>Time</t>
  </si>
  <si>
    <t>q</t>
  </si>
  <si>
    <t>D</t>
  </si>
  <si>
    <t>b</t>
  </si>
  <si>
    <t>N</t>
  </si>
  <si>
    <t>i</t>
  </si>
  <si>
    <t>D_eff</t>
  </si>
  <si>
    <t>EUR_t</t>
  </si>
  <si>
    <t>EUR_qf</t>
  </si>
  <si>
    <t>Well Rates</t>
  </si>
  <si>
    <t>DaysOn</t>
  </si>
  <si>
    <t>Well Cum.</t>
  </si>
  <si>
    <t>Well Time</t>
  </si>
  <si>
    <t>Scalar</t>
  </si>
  <si>
    <t>Variate</t>
  </si>
  <si>
    <t>Downtime Correlation</t>
  </si>
  <si>
    <t>Chance Downtime</t>
  </si>
  <si>
    <t>Well Volume</t>
  </si>
  <si>
    <t>Buildup</t>
  </si>
  <si>
    <t>Match Day</t>
  </si>
  <si>
    <t>THM</t>
  </si>
  <si>
    <t>MH</t>
  </si>
  <si>
    <t>N_Norm</t>
  </si>
  <si>
    <t>Q</t>
  </si>
  <si>
    <t>Cum</t>
  </si>
  <si>
    <t>Cum_qf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</si>
  <si>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</si>
  <si>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</si>
  <si>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</si>
  <si>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</si>
  <si>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elf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</si>
  <si>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</si>
  <si>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</si>
  <si>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t>days</t>
  </si>
  <si>
    <t>BPD</t>
  </si>
  <si>
    <t>%</t>
  </si>
  <si>
    <t>dim.</t>
  </si>
  <si>
    <t>days.</t>
  </si>
  <si>
    <t>MBbl</t>
  </si>
  <si>
    <t>Is Down?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</si>
  <si>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</si>
  <si>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</si>
  <si>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</si>
  <si>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</si>
  <si>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</si>
  <si>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</si>
  <si>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MH</t>
    </r>
  </si>
  <si>
    <t>Downtime mean</t>
  </si>
  <si>
    <t>Downtime P10/P90</t>
  </si>
  <si>
    <t>Correlation</t>
  </si>
  <si>
    <t>Variate 2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</si>
  <si>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Norm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</si>
  <si>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MH,Norm</t>
    </r>
  </si>
  <si>
    <t>Correlated Noise std. dev.</t>
  </si>
  <si>
    <t>Random Noise std. dev.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</si>
</sst>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9" fontId="0" fillId="0" borderId="0" xfId="0" applyNumberFormat="1"/>
    <xf numFmtId="4" fontId="0" fillId="0" borderId="0" xfId="0" applyNumberFormat="1"/>
    <xf numFmtId="10" fontId="0" fillId="0" borderId="0" xfId="0" applyNumberFormat="1"/>
    <xf numFmtId="0" fontId="1" fillId="2" borderId="0" xfId="0" applyFont="1" applyFill="1" applyAlignment="1">
      <alignment horizontal="center"/>
    </xf>
    <xf numFmtId="0" fontId="3" fillId="0" borderId="0" xfId="0" applyFont="1"/>
    <xf numFmtId="4" fontId="0" fillId="0" borderId="4" xfId="0" applyNumberFormat="1" applyBorder="1"/>
    <xf numFmtId="4" fontId="0" fillId="0" borderId="0" xfId="0" applyNumberFormat="1" applyBorder="1"/>
    <xf numFmtId="4" fontId="0" fillId="0" borderId="5" xfId="0" applyNumberFormat="1" applyBorder="1"/>
    <xf numFmtId="4" fontId="0" fillId="0" borderId="6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0" xfId="0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center" wrapText="1"/>
    </xf>
    <xf numFmtId="4" fontId="0" fillId="0" borderId="1" xfId="0" applyNumberForma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0" fillId="0" borderId="9" xfId="0" applyNumberFormat="1" applyFill="1" applyBorder="1" applyAlignment="1">
      <alignment horizontal="right"/>
    </xf>
    <xf numFmtId="4" fontId="0" fillId="0" borderId="1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470.97075634723541</c:v>
                </c:pt>
                <c:pt idx="1">
                  <c:v>470.73521468634181</c:v>
                </c:pt>
                <c:pt idx="2">
                  <c:v>470.4861013279446</c:v>
                </c:pt>
                <c:pt idx="3">
                  <c:v>470.2226579352926</c:v>
                </c:pt>
                <c:pt idx="4">
                  <c:v>469.94408662001024</c:v>
                </c:pt>
                <c:pt idx="5">
                  <c:v>469.64954821696637</c:v>
                </c:pt>
                <c:pt idx="6">
                  <c:v>469.33816052548758</c:v>
                </c:pt>
                <c:pt idx="7">
                  <c:v>469.00899652206868</c:v>
                </c:pt>
                <c:pt idx="8">
                  <c:v>468.66108255070122</c:v>
                </c:pt>
                <c:pt idx="9">
                  <c:v>468.2933964980117</c:v>
                </c:pt>
                <c:pt idx="10">
                  <c:v>467.9048659615828</c:v>
                </c:pt>
                <c:pt idx="11">
                  <c:v>467.49436642112647</c:v>
                </c:pt>
                <c:pt idx="12">
                  <c:v>467.06071942359756</c:v>
                </c:pt>
                <c:pt idx="13">
                  <c:v>466.60269079487841</c:v>
                </c:pt>
                <c:pt idx="14">
                  <c:v>466.11898889233845</c:v>
                </c:pt>
                <c:pt idx="15">
                  <c:v>465.60826291438036</c:v>
                </c:pt>
                <c:pt idx="16">
                  <c:v>465.06910128501795</c:v>
                </c:pt>
                <c:pt idx="17">
                  <c:v>464.50003013360089</c:v>
                </c:pt>
                <c:pt idx="18">
                  <c:v>463.89951189199451</c:v>
                </c:pt>
                <c:pt idx="19">
                  <c:v>463.26594403383643</c:v>
                </c:pt>
                <c:pt idx="20">
                  <c:v>462.59765798290852</c:v>
                </c:pt>
                <c:pt idx="21">
                  <c:v>461.89291822017924</c:v>
                </c:pt>
                <c:pt idx="22">
                  <c:v>461.14992162164867</c:v>
                </c:pt>
                <c:pt idx="23">
                  <c:v>460.36679706175971</c:v>
                </c:pt>
                <c:pt idx="24">
                  <c:v>459.54160531977504</c:v>
                </c:pt>
                <c:pt idx="25">
                  <c:v>458.67233932913041</c:v>
                </c:pt>
                <c:pt idx="26">
                  <c:v>457.75692481230641</c:v>
                </c:pt>
                <c:pt idx="27">
                  <c:v>456.79322134616012</c:v>
                </c:pt>
                <c:pt idx="28">
                  <c:v>455.77902390485548</c:v>
                </c:pt>
                <c:pt idx="29">
                  <c:v>454.71206492945504</c:v>
                </c:pt>
                <c:pt idx="30">
                  <c:v>453.59001697479152</c:v>
                </c:pt>
                <c:pt idx="31">
                  <c:v>452.41049598534352</c:v>
                </c:pt>
                <c:pt idx="32">
                  <c:v>451.17106525237728</c:v>
                </c:pt>
                <c:pt idx="33">
                  <c:v>449.86924010447194</c:v>
                </c:pt>
                <c:pt idx="34">
                  <c:v>448.50249338260943</c:v>
                </c:pt>
                <c:pt idx="35">
                  <c:v>447.06826174913903</c:v>
                </c:pt>
                <c:pt idx="36">
                  <c:v>445.56395287698996</c:v>
                </c:pt>
                <c:pt idx="37">
                  <c:v>443.98695356138421</c:v>
                </c:pt>
                <c:pt idx="38">
                  <c:v>442.33463879084314</c:v>
                </c:pt>
                <c:pt idx="39">
                  <c:v>440.60438180738691</c:v>
                </c:pt>
                <c:pt idx="40">
                  <c:v>438.79356517736477</c:v>
                </c:pt>
                <c:pt idx="41">
                  <c:v>436.89959288425359</c:v>
                </c:pt>
                <c:pt idx="42">
                  <c:v>434.9199034429501</c:v>
                </c:pt>
                <c:pt idx="43">
                  <c:v>432.85198402152838</c:v>
                </c:pt>
                <c:pt idx="44">
                  <c:v>430.69338554115819</c:v>
                </c:pt>
                <c:pt idx="45">
                  <c:v>428.44173870793458</c:v>
                </c:pt>
                <c:pt idx="46">
                  <c:v>426.09477091188364</c:v>
                </c:pt>
                <c:pt idx="47">
                  <c:v>423.65032390855771</c:v>
                </c:pt>
                <c:pt idx="48">
                  <c:v>421.10637217768027</c:v>
                </c:pt>
                <c:pt idx="49">
                  <c:v>418.46104183157007</c:v>
                </c:pt>
                <c:pt idx="50">
                  <c:v>415.71262992396669</c:v>
                </c:pt>
                <c:pt idx="51">
                  <c:v>412.85962398789093</c:v>
                </c:pt>
                <c:pt idx="52">
                  <c:v>409.90072160983601</c:v>
                </c:pt>
                <c:pt idx="53">
                  <c:v>406.83484982752918</c:v>
                </c:pt>
                <c:pt idx="54">
                  <c:v>403.66118412037883</c:v>
                </c:pt>
                <c:pt idx="55">
                  <c:v>400.37916674623199</c:v>
                </c:pt>
                <c:pt idx="56">
                  <c:v>396.98852416591302</c:v>
                </c:pt>
                <c:pt idx="57">
                  <c:v>393.48928328888519</c:v>
                </c:pt>
                <c:pt idx="58">
                  <c:v>389.88178626992607</c:v>
                </c:pt>
                <c:pt idx="59">
                  <c:v>386.16670358849649</c:v>
                </c:pt>
                <c:pt idx="60">
                  <c:v>382.34504514999242</c:v>
                </c:pt>
                <c:pt idx="61">
                  <c:v>378.41816916161144</c:v>
                </c:pt>
                <c:pt idx="62">
                  <c:v>374.38778855532126</c:v>
                </c:pt>
                <c:pt idx="63">
                  <c:v>370.25597475634993</c:v>
                </c:pt>
                <c:pt idx="64">
                  <c:v>366.02515862749669</c:v>
                </c:pt>
                <c:pt idx="65">
                  <c:v>361.69812845694867</c:v>
                </c:pt>
                <c:pt idx="66">
                  <c:v>357.27802489950585</c:v>
                </c:pt>
                <c:pt idx="67">
                  <c:v>352.76833282730712</c:v>
                </c:pt>
                <c:pt idx="68">
                  <c:v>348.17287009525586</c:v>
                </c:pt>
                <c:pt idx="69">
                  <c:v>343.4957732771631</c:v>
                </c:pt>
                <c:pt idx="70">
                  <c:v>338.74148047983863</c:v>
                </c:pt>
                <c:pt idx="71">
                  <c:v>333.91471139259443</c:v>
                </c:pt>
                <c:pt idx="72">
                  <c:v>329.02044477748478</c:v>
                </c:pt>
                <c:pt idx="73">
                  <c:v>324.06389364975604</c:v>
                </c:pt>
                <c:pt idx="74">
                  <c:v>319.05047843717813</c:v>
                </c:pt>
                <c:pt idx="75">
                  <c:v>313.98579844008577</c:v>
                </c:pt>
                <c:pt idx="76">
                  <c:v>308.8756019401942</c:v>
                </c:pt>
                <c:pt idx="77">
                  <c:v>303.72575532490202</c:v>
                </c:pt>
                <c:pt idx="78">
                  <c:v>298.54221160446957</c:v>
                </c:pt>
                <c:pt idx="79">
                  <c:v>293.33097870202403</c:v>
                </c:pt>
                <c:pt idx="80">
                  <c:v>288.0980878909366</c:v>
                </c:pt>
                <c:pt idx="81">
                  <c:v>282.84956274113478</c:v>
                </c:pt>
                <c:pt idx="82">
                  <c:v>277.59138891596945</c:v>
                </c:pt>
                <c:pt idx="83">
                  <c:v>272.32948513517164</c:v>
                </c:pt>
                <c:pt idx="84">
                  <c:v>267.06967558817217</c:v>
                </c:pt>
                <c:pt idx="85">
                  <c:v>261.81766404669207</c:v>
                </c:pt>
                <c:pt idx="86">
                  <c:v>256.57900988718023</c:v>
                </c:pt>
                <c:pt idx="87">
                  <c:v>251.35910619351813</c:v>
                </c:pt>
                <c:pt idx="88">
                  <c:v>246.16316006955179</c:v>
                </c:pt>
                <c:pt idx="89">
                  <c:v>240.99617525049229</c:v>
                </c:pt>
                <c:pt idx="90">
                  <c:v>235.8629370629981</c:v>
                </c:pt>
                <c:pt idx="91">
                  <c:v>230.76799974663979</c:v>
                </c:pt>
                <c:pt idx="92">
                  <c:v>225.7156761151295</c:v>
                </c:pt>
                <c:pt idx="93">
                  <c:v>220.71002950471689</c:v>
                </c:pt>
                <c:pt idx="94">
                  <c:v>215.75486792988281</c:v>
                </c:pt>
                <c:pt idx="95">
                  <c:v>210.85374034314995</c:v>
                </c:pt>
                <c:pt idx="96">
                  <c:v>206.00993487657033</c:v>
                </c:pt>
                <c:pt idx="97">
                  <c:v>201.2264789272281</c:v>
                </c:pt>
                <c:pt idx="98">
                  <c:v>196.50614093778009</c:v>
                </c:pt>
                <c:pt idx="99">
                  <c:v>191.85143371544359</c:v>
                </c:pt>
                <c:pt idx="100">
                  <c:v>187.26461912863462</c:v>
                </c:pt>
                <c:pt idx="101">
                  <c:v>182.73160115380236</c:v>
                </c:pt>
                <c:pt idx="102">
                  <c:v>178.22486906657363</c:v>
                </c:pt>
                <c:pt idx="103">
                  <c:v>173.74880999479925</c:v>
                </c:pt>
                <c:pt idx="104">
                  <c:v>169.30841564999994</c:v>
                </c:pt>
                <c:pt idx="105">
                  <c:v>164.90844166716627</c:v>
                </c:pt>
                <c:pt idx="106">
                  <c:v>160.5533919596123</c:v>
                </c:pt>
                <c:pt idx="107">
                  <c:v>156.24750581425667</c:v>
                </c:pt>
                <c:pt idx="108">
                  <c:v>151.99474770864876</c:v>
                </c:pt>
                <c:pt idx="109">
                  <c:v>147.79879979162294</c:v>
                </c:pt>
                <c:pt idx="110">
                  <c:v>143.66305693439287</c:v>
                </c:pt>
                <c:pt idx="111">
                  <c:v>139.59062422862445</c:v>
                </c:pt>
                <c:pt idx="112">
                  <c:v>135.58431678279592</c:v>
                </c:pt>
                <c:pt idx="113">
                  <c:v>131.64666164804007</c:v>
                </c:pt>
                <c:pt idx="114">
                  <c:v>127.77263705121786</c:v>
                </c:pt>
                <c:pt idx="115">
                  <c:v>123.90109718725238</c:v>
                </c:pt>
                <c:pt idx="116">
                  <c:v>120.02347461884987</c:v>
                </c:pt>
                <c:pt idx="117">
                  <c:v>116.14692251201687</c:v>
                </c:pt>
                <c:pt idx="118">
                  <c:v>112.27863470682051</c:v>
                </c:pt>
                <c:pt idx="119">
                  <c:v>108.42579397286897</c:v>
                </c:pt>
                <c:pt idx="120">
                  <c:v>104.59551993972059</c:v>
                </c:pt>
                <c:pt idx="121">
                  <c:v>100.79481748536315</c:v>
                </c:pt>
                <c:pt idx="122">
                  <c:v>97.030526362934836</c:v>
                </c:pt>
                <c:pt idx="123">
                  <c:v>93.309272822987282</c:v>
                </c:pt>
                <c:pt idx="124">
                  <c:v>89.637423946442951</c:v>
                </c:pt>
                <c:pt idx="125">
                  <c:v>86.021045343367291</c:v>
                </c:pt>
                <c:pt idx="126">
                  <c:v>82.465862796807926</c:v>
                </c:pt>
                <c:pt idx="127">
                  <c:v>78.97722834188103</c:v>
                </c:pt>
                <c:pt idx="128">
                  <c:v>75.560091171087365</c:v>
                </c:pt>
                <c:pt idx="129">
                  <c:v>72.218973650885189</c:v>
                </c:pt>
                <c:pt idx="130">
                  <c:v>68.957952625340468</c:v>
                </c:pt>
                <c:pt idx="131">
                  <c:v>65.780646073694314</c:v>
                </c:pt>
                <c:pt idx="132">
                  <c:v>62.690205083231575</c:v>
                </c:pt>
                <c:pt idx="133">
                  <c:v>59.689310999886359</c:v>
                </c:pt>
                <c:pt idx="134">
                  <c:v>56.780177529141831</c:v>
                </c:pt>
                <c:pt idx="135">
                  <c:v>53.964557481029885</c:v>
                </c:pt>
                <c:pt idx="136">
                  <c:v>51.243753786917367</c:v>
                </c:pt>
                <c:pt idx="137">
                  <c:v>48.618634363214674</c:v>
                </c:pt>
                <c:pt idx="138">
                  <c:v>46.089650358542954</c:v>
                </c:pt>
                <c:pt idx="139">
                  <c:v>43.656857296107987</c:v>
                </c:pt>
                <c:pt idx="140">
                  <c:v>41.31993861145952</c:v>
                </c:pt>
                <c:pt idx="141">
                  <c:v>39.078231086482837</c:v>
                </c:pt>
                <c:pt idx="142">
                  <c:v>36.930751692095669</c:v>
                </c:pt>
                <c:pt idx="143">
                  <c:v>34.876225373213487</c:v>
                </c:pt>
                <c:pt idx="144">
                  <c:v>32.913113338474673</c:v>
                </c:pt>
                <c:pt idx="145">
                  <c:v>31.039641452313095</c:v>
                </c:pt>
                <c:pt idx="146">
                  <c:v>29.253813530570355</c:v>
                </c:pt>
                <c:pt idx="147">
                  <c:v>27.512369212958522</c:v>
                </c:pt>
                <c:pt idx="148">
                  <c:v>25.780664965551402</c:v>
                </c:pt>
                <c:pt idx="149">
                  <c:v>24.065078165038752</c:v>
                </c:pt>
                <c:pt idx="150">
                  <c:v>22.372182153755119</c:v>
                </c:pt>
                <c:pt idx="151">
                  <c:v>20.708675464589561</c:v>
                </c:pt>
                <c:pt idx="152">
                  <c:v>19.08130081097617</c:v>
                </c:pt>
                <c:pt idx="153">
                  <c:v>17.496754544446297</c:v>
                </c:pt>
                <c:pt idx="154">
                  <c:v>15.961587733673271</c:v>
                </c:pt>
                <c:pt idx="155">
                  <c:v>14.482100511853144</c:v>
                </c:pt>
                <c:pt idx="156">
                  <c:v>13.064231856753104</c:v>
                </c:pt>
                <c:pt idx="157">
                  <c:v>11.713447486785169</c:v>
                </c:pt>
                <c:pt idx="158">
                  <c:v>10.434629047780211</c:v>
                </c:pt>
                <c:pt idx="159">
                  <c:v>9.2319681937774796</c:v>
                </c:pt>
                <c:pt idx="160">
                  <c:v>8.1088694916042581</c:v>
                </c:pt>
                <c:pt idx="161">
                  <c:v>7.0678662612744807</c:v>
                </c:pt>
                <c:pt idx="162">
                  <c:v>6.1105534606508183</c:v>
                </c:pt>
                <c:pt idx="163">
                  <c:v>5.2375414959497446</c:v>
                </c:pt>
                <c:pt idx="164">
                  <c:v>4.4484343608205155</c:v>
                </c:pt>
                <c:pt idx="165">
                  <c:v>3.741834760944359</c:v>
                </c:pt>
                <c:pt idx="166">
                  <c:v>3.1153778721823038</c:v>
                </c:pt>
                <c:pt idx="167">
                  <c:v>2.5657941351745177</c:v>
                </c:pt>
                <c:pt idx="168">
                  <c:v>2.0890000609578454</c:v>
                </c:pt>
                <c:pt idx="169">
                  <c:v>1.6802144903795186</c:v>
                </c:pt>
                <c:pt idx="170">
                  <c:v>1.3340962190001273</c:v>
                </c:pt>
                <c:pt idx="171">
                  <c:v>1.0448974913527691</c:v>
                </c:pt>
                <c:pt idx="172">
                  <c:v>0.80662671498356264</c:v>
                </c:pt>
                <c:pt idx="173">
                  <c:v>0.61321297205858549</c:v>
                </c:pt>
                <c:pt idx="174">
                  <c:v>0.45866462053804036</c:v>
                </c:pt>
                <c:pt idx="175">
                  <c:v>0.33721454746223756</c:v>
                </c:pt>
                <c:pt idx="176">
                  <c:v>0.24344548229900689</c:v>
                </c:pt>
                <c:pt idx="177">
                  <c:v>0.17239015642140035</c:v>
                </c:pt>
                <c:pt idx="178">
                  <c:v>0.11960290027521701</c:v>
                </c:pt>
                <c:pt idx="179">
                  <c:v>8.1201340704722208E-2</c:v>
                </c:pt>
                <c:pt idx="180">
                  <c:v>5.3878994892014968E-2</c:v>
                </c:pt>
                <c:pt idx="181">
                  <c:v>3.4891536303776671E-2</c:v>
                </c:pt>
                <c:pt idx="182">
                  <c:v>2.2021127784714489E-2</c:v>
                </c:pt>
                <c:pt idx="183">
                  <c:v>1.3524317431006867E-2</c:v>
                </c:pt>
                <c:pt idx="184">
                  <c:v>8.0694829161345755E-3</c:v>
                </c:pt>
                <c:pt idx="185">
                  <c:v>4.6696813398812587E-3</c:v>
                </c:pt>
                <c:pt idx="186">
                  <c:v>2.6160892739143723E-3</c:v>
                </c:pt>
                <c:pt idx="187">
                  <c:v>1.4161445413590813E-3</c:v>
                </c:pt>
                <c:pt idx="188">
                  <c:v>7.3921168327634125E-4</c:v>
                </c:pt>
                <c:pt idx="189">
                  <c:v>3.7127904526993349E-4</c:v>
                </c:pt>
                <c:pt idx="190">
                  <c:v>1.7902395162618665E-4</c:v>
                </c:pt>
                <c:pt idx="191">
                  <c:v>8.2670562680789731E-5</c:v>
                </c:pt>
                <c:pt idx="192">
                  <c:v>3.6467622746952111E-5</c:v>
                </c:pt>
                <c:pt idx="193">
                  <c:v>1.5325077002679935E-5</c:v>
                </c:pt>
                <c:pt idx="194">
                  <c:v>6.1177054913637892E-6</c:v>
                </c:pt>
                <c:pt idx="195">
                  <c:v>2.3128275168429108E-6</c:v>
                </c:pt>
                <c:pt idx="196">
                  <c:v>8.2540380474099109E-7</c:v>
                </c:pt>
                <c:pt idx="197">
                  <c:v>2.7712456287716769E-7</c:v>
                </c:pt>
                <c:pt idx="198">
                  <c:v>8.721633179999443E-8</c:v>
                </c:pt>
                <c:pt idx="199">
                  <c:v>2.5631302017477046E-8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21E-8EAC-91D12DC61249}"/>
            </c:ext>
          </c:extLst>
        </c:ser>
        <c:ser>
          <c:idx val="2"/>
          <c:order val="1"/>
          <c:tx>
            <c:strRef>
              <c:f>Tests!$AB$32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170.07138757850726</c:v>
                </c:pt>
                <c:pt idx="1">
                  <c:v>590.92310768045616</c:v>
                </c:pt>
                <c:pt idx="2">
                  <c:v>376.41711086794885</c:v>
                </c:pt>
                <c:pt idx="3">
                  <c:v>221.78130709245693</c:v>
                </c:pt>
                <c:pt idx="4">
                  <c:v>189.39150459020343</c:v>
                </c:pt>
                <c:pt idx="5">
                  <c:v>190.4574171285287</c:v>
                </c:pt>
                <c:pt idx="6">
                  <c:v>237.87704167996984</c:v>
                </c:pt>
                <c:pt idx="7">
                  <c:v>226.40254133414697</c:v>
                </c:pt>
                <c:pt idx="8">
                  <c:v>220.42949271530074</c:v>
                </c:pt>
                <c:pt idx="9">
                  <c:v>171.112186557499</c:v>
                </c:pt>
                <c:pt idx="10">
                  <c:v>120.8602652280648</c:v>
                </c:pt>
                <c:pt idx="11">
                  <c:v>62.860323618823358</c:v>
                </c:pt>
                <c:pt idx="12">
                  <c:v>239.85744559468722</c:v>
                </c:pt>
                <c:pt idx="13">
                  <c:v>219.20138945658545</c:v>
                </c:pt>
                <c:pt idx="14">
                  <c:v>61.890101082382543</c:v>
                </c:pt>
                <c:pt idx="15">
                  <c:v>79.7141610990262</c:v>
                </c:pt>
                <c:pt idx="16">
                  <c:v>134.70021753469072</c:v>
                </c:pt>
                <c:pt idx="17">
                  <c:v>150.34954144303143</c:v>
                </c:pt>
                <c:pt idx="18">
                  <c:v>138.5716392474387</c:v>
                </c:pt>
                <c:pt idx="19">
                  <c:v>155.87946728278197</c:v>
                </c:pt>
                <c:pt idx="20">
                  <c:v>130.62530880361382</c:v>
                </c:pt>
                <c:pt idx="21">
                  <c:v>1</c:v>
                </c:pt>
                <c:pt idx="22">
                  <c:v>136.3839691813985</c:v>
                </c:pt>
                <c:pt idx="23">
                  <c:v>110.57664178920172</c:v>
                </c:pt>
                <c:pt idx="24">
                  <c:v>151.45041859406427</c:v>
                </c:pt>
                <c:pt idx="25">
                  <c:v>145.36906710975066</c:v>
                </c:pt>
                <c:pt idx="26">
                  <c:v>120.65412058182653</c:v>
                </c:pt>
                <c:pt idx="27">
                  <c:v>70.859002096158207</c:v>
                </c:pt>
                <c:pt idx="28">
                  <c:v>121.28803650218735</c:v>
                </c:pt>
                <c:pt idx="29">
                  <c:v>42.99842623436767</c:v>
                </c:pt>
                <c:pt idx="30">
                  <c:v>30.072186991405054</c:v>
                </c:pt>
                <c:pt idx="31">
                  <c:v>3.0630700507561914</c:v>
                </c:pt>
                <c:pt idx="32">
                  <c:v>117.18931777532457</c:v>
                </c:pt>
                <c:pt idx="33">
                  <c:v>130.34523353616669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2-421E-8EAC-91D12DC61249}"/>
            </c:ext>
          </c:extLst>
        </c:ser>
        <c:ser>
          <c:idx val="1"/>
          <c:order val="2"/>
          <c:tx>
            <c:strRef>
              <c:f>Tests!$Q$32</c:f>
              <c:strCache>
                <c:ptCount val="1"/>
                <c:pt idx="0">
                  <c:v>qMH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251.68761841416713</c:v>
                </c:pt>
                <c:pt idx="1">
                  <c:v>251.66870252975542</c:v>
                </c:pt>
                <c:pt idx="2">
                  <c:v>251.64866858394402</c:v>
                </c:pt>
                <c:pt idx="3">
                  <c:v>251.6274506654174</c:v>
                </c:pt>
                <c:pt idx="4">
                  <c:v>251.60497899848951</c:v>
                </c:pt>
                <c:pt idx="5">
                  <c:v>251.58117971911977</c:v>
                </c:pt>
                <c:pt idx="6">
                  <c:v>251.55597463826319</c:v>
                </c:pt>
                <c:pt idx="7">
                  <c:v>251.52928099187568</c:v>
                </c:pt>
                <c:pt idx="8">
                  <c:v>251.50101117686683</c:v>
                </c:pt>
                <c:pt idx="9">
                  <c:v>251.47107247225813</c:v>
                </c:pt>
                <c:pt idx="10">
                  <c:v>251.43936674477334</c:v>
                </c:pt>
                <c:pt idx="11">
                  <c:v>251.40579013805302</c:v>
                </c:pt>
                <c:pt idx="12">
                  <c:v>251.37023274465133</c:v>
                </c:pt>
                <c:pt idx="13">
                  <c:v>251.3325782599394</c:v>
                </c:pt>
                <c:pt idx="14">
                  <c:v>251.29270361700338</c:v>
                </c:pt>
                <c:pt idx="15">
                  <c:v>251.25047860159174</c:v>
                </c:pt>
                <c:pt idx="16">
                  <c:v>251.20576544613181</c:v>
                </c:pt>
                <c:pt idx="17">
                  <c:v>251.15841840179891</c:v>
                </c:pt>
                <c:pt idx="18">
                  <c:v>251.10828328759234</c:v>
                </c:pt>
                <c:pt idx="19">
                  <c:v>251.05519701533589</c:v>
                </c:pt>
                <c:pt idx="20">
                  <c:v>250.99898708949218</c:v>
                </c:pt>
                <c:pt idx="21">
                  <c:v>250.93947108065083</c:v>
                </c:pt>
                <c:pt idx="22">
                  <c:v>250.8764560715245</c:v>
                </c:pt>
                <c:pt idx="23">
                  <c:v>250.8097380742625</c:v>
                </c:pt>
                <c:pt idx="24">
                  <c:v>250.73910141787454</c:v>
                </c:pt>
                <c:pt idx="25">
                  <c:v>250.66431810454196</c:v>
                </c:pt>
                <c:pt idx="26">
                  <c:v>250.58514713358394</c:v>
                </c:pt>
                <c:pt idx="27">
                  <c:v>250.50133379184649</c:v>
                </c:pt>
                <c:pt idx="28">
                  <c:v>250.41260890928478</c:v>
                </c:pt>
                <c:pt idx="29">
                  <c:v>250.3186880785274</c:v>
                </c:pt>
                <c:pt idx="30">
                  <c:v>250.21927083723367</c:v>
                </c:pt>
                <c:pt idx="31">
                  <c:v>250.11403981209509</c:v>
                </c:pt>
                <c:pt idx="32">
                  <c:v>250.00265982338243</c:v>
                </c:pt>
                <c:pt idx="33">
                  <c:v>249.88477694900826</c:v>
                </c:pt>
                <c:pt idx="34">
                  <c:v>249.76001754716091</c:v>
                </c:pt>
                <c:pt idx="35">
                  <c:v>249.62798723667291</c:v>
                </c:pt>
                <c:pt idx="36">
                  <c:v>249.48826983441737</c:v>
                </c:pt>
                <c:pt idx="37">
                  <c:v>249.34042624918348</c:v>
                </c:pt>
                <c:pt idx="38">
                  <c:v>249.18399333166863</c:v>
                </c:pt>
                <c:pt idx="39">
                  <c:v>249.01848268044699</c:v>
                </c:pt>
                <c:pt idx="40">
                  <c:v>248.8433794040314</c:v>
                </c:pt>
                <c:pt idx="41">
                  <c:v>248.65814083944633</c:v>
                </c:pt>
                <c:pt idx="42">
                  <c:v>248.46219522807689</c:v>
                </c:pt>
                <c:pt idx="43">
                  <c:v>248.25494034995842</c:v>
                </c:pt>
                <c:pt idx="44">
                  <c:v>248.03574211812432</c:v>
                </c:pt>
                <c:pt idx="45">
                  <c:v>247.80393313515322</c:v>
                </c:pt>
                <c:pt idx="46">
                  <c:v>247.55881121463995</c:v>
                </c:pt>
                <c:pt idx="47">
                  <c:v>247.2996378709837</c:v>
                </c:pt>
                <c:pt idx="48">
                  <c:v>247.02563678162898</c:v>
                </c:pt>
                <c:pt idx="49">
                  <c:v>246.73599222673525</c:v>
                </c:pt>
                <c:pt idx="50">
                  <c:v>246.42984751218435</c:v>
                </c:pt>
                <c:pt idx="51">
                  <c:v>246.10630338287237</c:v>
                </c:pt>
                <c:pt idx="52">
                  <c:v>245.76441643438801</c:v>
                </c:pt>
                <c:pt idx="53">
                  <c:v>245.40319753244782</c:v>
                </c:pt>
                <c:pt idx="54">
                  <c:v>245.02161025086309</c:v>
                </c:pt>
                <c:pt idx="55">
                  <c:v>244.61856934034347</c:v>
                </c:pt>
                <c:pt idx="56">
                  <c:v>244.19293924212334</c:v>
                </c:pt>
                <c:pt idx="57">
                  <c:v>243.74353266221448</c:v>
                </c:pt>
                <c:pt idx="58">
                  <c:v>243.26910922406711</c:v>
                </c:pt>
                <c:pt idx="59">
                  <c:v>242.76837421954343</c:v>
                </c:pt>
                <c:pt idx="60">
                  <c:v>242.23997748039167</c:v>
                </c:pt>
                <c:pt idx="61">
                  <c:v>241.68251239483922</c:v>
                </c:pt>
                <c:pt idx="62">
                  <c:v>241.09451509650185</c:v>
                </c:pt>
                <c:pt idx="63">
                  <c:v>240.47446385552047</c:v>
                </c:pt>
                <c:pt idx="64">
                  <c:v>239.820778704677</c:v>
                </c:pt>
                <c:pt idx="65">
                  <c:v>239.13182133617821</c:v>
                </c:pt>
                <c:pt idx="66">
                  <c:v>238.40589530781941</c:v>
                </c:pt>
                <c:pt idx="67">
                  <c:v>237.64124660029862</c:v>
                </c:pt>
                <c:pt idx="68">
                  <c:v>236.83606457052028</c:v>
                </c:pt>
                <c:pt idx="69">
                  <c:v>235.9884833487406</c:v>
                </c:pt>
                <c:pt idx="70">
                  <c:v>235.09658373031505</c:v>
                </c:pt>
                <c:pt idx="71">
                  <c:v>234.15839561552747</c:v>
                </c:pt>
                <c:pt idx="72">
                  <c:v>233.17190105343209</c:v>
                </c:pt>
                <c:pt idx="73">
                  <c:v>232.13503794772078</c:v>
                </c:pt>
                <c:pt idx="74">
                  <c:v>231.04570448422294</c:v>
                </c:pt>
                <c:pt idx="75">
                  <c:v>229.9017643406323</c:v>
                </c:pt>
                <c:pt idx="76">
                  <c:v>228.70105273928036</c:v>
                </c:pt>
                <c:pt idx="77">
                  <c:v>227.44138340309431</c:v>
                </c:pt>
                <c:pt idx="78">
                  <c:v>226.12055647310717</c:v>
                </c:pt>
                <c:pt idx="79">
                  <c:v>224.73636744285565</c:v>
                </c:pt>
                <c:pt idx="80">
                  <c:v>223.28661716051138</c:v>
                </c:pt>
                <c:pt idx="81">
                  <c:v>221.76912294344976</c:v>
                </c:pt>
                <c:pt idx="82">
                  <c:v>220.18173084197304</c:v>
                </c:pt>
                <c:pt idx="83">
                  <c:v>218.52232907888114</c:v>
                </c:pt>
                <c:pt idx="84">
                  <c:v>216.78886267934439</c:v>
                </c:pt>
                <c:pt idx="85">
                  <c:v>214.97934929093319</c:v>
                </c:pt>
                <c:pt idx="86">
                  <c:v>213.09189617656875</c:v>
                </c:pt>
                <c:pt idx="87">
                  <c:v>211.12471834351331</c:v>
                </c:pt>
                <c:pt idx="88">
                  <c:v>209.07615774928817</c:v>
                </c:pt>
                <c:pt idx="89">
                  <c:v>206.94470350065873</c:v>
                </c:pt>
                <c:pt idx="90">
                  <c:v>204.7290129346878</c:v>
                </c:pt>
                <c:pt idx="91">
                  <c:v>202.4279334415821</c:v>
                </c:pt>
                <c:pt idx="92">
                  <c:v>200.04052485798249</c:v>
                </c:pt>
                <c:pt idx="93">
                  <c:v>197.56608222697048</c:v>
                </c:pt>
                <c:pt idx="94">
                  <c:v>195.00415868797594</c:v>
                </c:pt>
                <c:pt idx="95">
                  <c:v>192.35458822673897</c:v>
                </c:pt>
                <c:pt idx="96">
                  <c:v>189.61750798337405</c:v>
                </c:pt>
                <c:pt idx="97">
                  <c:v>186.79337978643633</c:v>
                </c:pt>
                <c:pt idx="98">
                  <c:v>183.88301055381817</c:v>
                </c:pt>
                <c:pt idx="99">
                  <c:v>180.88757117853655</c:v>
                </c:pt>
                <c:pt idx="100">
                  <c:v>177.80861350029082</c:v>
                </c:pt>
                <c:pt idx="101">
                  <c:v>174.64808495336632</c:v>
                </c:pt>
                <c:pt idx="102">
                  <c:v>171.4083404793036</c:v>
                </c:pt>
                <c:pt idx="103">
                  <c:v>168.0921512999075</c:v>
                </c:pt>
                <c:pt idx="104">
                  <c:v>164.70271016364967</c:v>
                </c:pt>
                <c:pt idx="105">
                  <c:v>161.24363270710018</c:v>
                </c:pt>
                <c:pt idx="106">
                  <c:v>157.71895461319869</c:v>
                </c:pt>
                <c:pt idx="107">
                  <c:v>154.13312430006582</c:v>
                </c:pt>
                <c:pt idx="108">
                  <c:v>150.49099093736862</c:v>
                </c:pt>
                <c:pt idx="109">
                  <c:v>146.7977876612411</c:v>
                </c:pt>
                <c:pt idx="110">
                  <c:v>143.05910994219064</c:v>
                </c:pt>
                <c:pt idx="111">
                  <c:v>139.28088915156977</c:v>
                </c:pt>
                <c:pt idx="112">
                  <c:v>135.46936146889217</c:v>
                </c:pt>
                <c:pt idx="113">
                  <c:v>131.63103237192811</c:v>
                </c:pt>
                <c:pt idx="114">
                  <c:v>127.77263705121788</c:v>
                </c:pt>
                <c:pt idx="115">
                  <c:v>123.9010971872524</c:v>
                </c:pt>
                <c:pt idx="116">
                  <c:v>120.0234746188499</c:v>
                </c:pt>
                <c:pt idx="117">
                  <c:v>116.14692251201689</c:v>
                </c:pt>
                <c:pt idx="118">
                  <c:v>112.27863470682057</c:v>
                </c:pt>
                <c:pt idx="119">
                  <c:v>108.42579397286899</c:v>
                </c:pt>
                <c:pt idx="120">
                  <c:v>104.59551993972063</c:v>
                </c:pt>
                <c:pt idx="121">
                  <c:v>100.79481748536317</c:v>
                </c:pt>
                <c:pt idx="122">
                  <c:v>97.030526362934836</c:v>
                </c:pt>
                <c:pt idx="123">
                  <c:v>93.309272822987339</c:v>
                </c:pt>
                <c:pt idx="124">
                  <c:v>89.637423946442979</c:v>
                </c:pt>
                <c:pt idx="125">
                  <c:v>86.021045343367319</c:v>
                </c:pt>
                <c:pt idx="126">
                  <c:v>82.465862796807954</c:v>
                </c:pt>
                <c:pt idx="127">
                  <c:v>78.977228341881045</c:v>
                </c:pt>
                <c:pt idx="128">
                  <c:v>75.560091171087365</c:v>
                </c:pt>
                <c:pt idx="129">
                  <c:v>72.218973650885189</c:v>
                </c:pt>
                <c:pt idx="130">
                  <c:v>68.957952625340496</c:v>
                </c:pt>
                <c:pt idx="131">
                  <c:v>65.780646073694328</c:v>
                </c:pt>
                <c:pt idx="132">
                  <c:v>62.690205083231596</c:v>
                </c:pt>
                <c:pt idx="133">
                  <c:v>59.689310999886381</c:v>
                </c:pt>
                <c:pt idx="134">
                  <c:v>56.780177529141838</c:v>
                </c:pt>
                <c:pt idx="135">
                  <c:v>53.964557481029907</c:v>
                </c:pt>
                <c:pt idx="136">
                  <c:v>51.243753786917374</c:v>
                </c:pt>
                <c:pt idx="137">
                  <c:v>48.618634363214689</c:v>
                </c:pt>
                <c:pt idx="138">
                  <c:v>46.089650358542961</c:v>
                </c:pt>
                <c:pt idx="139">
                  <c:v>43.656857296107994</c:v>
                </c:pt>
                <c:pt idx="140">
                  <c:v>41.319938611459527</c:v>
                </c:pt>
                <c:pt idx="141">
                  <c:v>39.078231086482845</c:v>
                </c:pt>
                <c:pt idx="142">
                  <c:v>36.930751692095683</c:v>
                </c:pt>
                <c:pt idx="143">
                  <c:v>34.876225373213487</c:v>
                </c:pt>
                <c:pt idx="144">
                  <c:v>32.91311333847468</c:v>
                </c:pt>
                <c:pt idx="145">
                  <c:v>31.039641452313106</c:v>
                </c:pt>
                <c:pt idx="146">
                  <c:v>29.253813530570355</c:v>
                </c:pt>
                <c:pt idx="147">
                  <c:v>27.512369212958522</c:v>
                </c:pt>
                <c:pt idx="148">
                  <c:v>25.780664965551402</c:v>
                </c:pt>
                <c:pt idx="149">
                  <c:v>24.065078165038752</c:v>
                </c:pt>
                <c:pt idx="150">
                  <c:v>22.372182153755119</c:v>
                </c:pt>
                <c:pt idx="151">
                  <c:v>20.708675464589561</c:v>
                </c:pt>
                <c:pt idx="152">
                  <c:v>19.08130081097617</c:v>
                </c:pt>
                <c:pt idx="153">
                  <c:v>17.496754544446297</c:v>
                </c:pt>
                <c:pt idx="154">
                  <c:v>15.961587733673271</c:v>
                </c:pt>
                <c:pt idx="155">
                  <c:v>14.482100511853144</c:v>
                </c:pt>
                <c:pt idx="156">
                  <c:v>13.064231856753104</c:v>
                </c:pt>
                <c:pt idx="157">
                  <c:v>11.713447486785169</c:v>
                </c:pt>
                <c:pt idx="158">
                  <c:v>10.434629047780211</c:v>
                </c:pt>
                <c:pt idx="159">
                  <c:v>9.2319681937774796</c:v>
                </c:pt>
                <c:pt idx="160">
                  <c:v>8.1088694916042581</c:v>
                </c:pt>
                <c:pt idx="161">
                  <c:v>7.0678662612744807</c:v>
                </c:pt>
                <c:pt idx="162">
                  <c:v>6.1105534606508183</c:v>
                </c:pt>
                <c:pt idx="163">
                  <c:v>5.2375414959497446</c:v>
                </c:pt>
                <c:pt idx="164">
                  <c:v>4.4484343608205155</c:v>
                </c:pt>
                <c:pt idx="165">
                  <c:v>3.741834760944359</c:v>
                </c:pt>
                <c:pt idx="166">
                  <c:v>3.1153778721823038</c:v>
                </c:pt>
                <c:pt idx="167">
                  <c:v>2.5657941351745177</c:v>
                </c:pt>
                <c:pt idx="168">
                  <c:v>2.0890000609578454</c:v>
                </c:pt>
                <c:pt idx="169">
                  <c:v>1.6802144903795186</c:v>
                </c:pt>
                <c:pt idx="170">
                  <c:v>1.3340962190001273</c:v>
                </c:pt>
                <c:pt idx="171">
                  <c:v>1.0448974913527691</c:v>
                </c:pt>
                <c:pt idx="172">
                  <c:v>0.80662671498356264</c:v>
                </c:pt>
                <c:pt idx="173">
                  <c:v>0.61321297205858549</c:v>
                </c:pt>
                <c:pt idx="174">
                  <c:v>0.45866462053804036</c:v>
                </c:pt>
                <c:pt idx="175">
                  <c:v>0.33721454746223756</c:v>
                </c:pt>
                <c:pt idx="176">
                  <c:v>0.24344548229900689</c:v>
                </c:pt>
                <c:pt idx="177">
                  <c:v>0.17239015642140035</c:v>
                </c:pt>
                <c:pt idx="178">
                  <c:v>0.11960290027521701</c:v>
                </c:pt>
                <c:pt idx="179">
                  <c:v>8.1201340704722208E-2</c:v>
                </c:pt>
                <c:pt idx="180">
                  <c:v>5.3878994892014968E-2</c:v>
                </c:pt>
                <c:pt idx="181">
                  <c:v>3.4891536303776671E-2</c:v>
                </c:pt>
                <c:pt idx="182">
                  <c:v>2.2021127784714489E-2</c:v>
                </c:pt>
                <c:pt idx="183">
                  <c:v>1.3524317431006867E-2</c:v>
                </c:pt>
                <c:pt idx="184">
                  <c:v>8.0694829161345755E-3</c:v>
                </c:pt>
                <c:pt idx="185">
                  <c:v>4.6696813398812587E-3</c:v>
                </c:pt>
                <c:pt idx="186">
                  <c:v>2.6160892739143723E-3</c:v>
                </c:pt>
                <c:pt idx="187">
                  <c:v>1.4161445413590813E-3</c:v>
                </c:pt>
                <c:pt idx="188">
                  <c:v>7.3921168327634125E-4</c:v>
                </c:pt>
                <c:pt idx="189">
                  <c:v>3.7127904526993349E-4</c:v>
                </c:pt>
                <c:pt idx="190">
                  <c:v>1.7902395162618665E-4</c:v>
                </c:pt>
                <c:pt idx="191">
                  <c:v>8.2670562680789731E-5</c:v>
                </c:pt>
                <c:pt idx="192">
                  <c:v>3.6467622746952111E-5</c:v>
                </c:pt>
                <c:pt idx="193">
                  <c:v>1.5325077002679935E-5</c:v>
                </c:pt>
                <c:pt idx="194">
                  <c:v>6.1177054913637892E-6</c:v>
                </c:pt>
                <c:pt idx="195">
                  <c:v>2.3128275168429108E-6</c:v>
                </c:pt>
                <c:pt idx="196">
                  <c:v>8.2540380474099109E-7</c:v>
                </c:pt>
                <c:pt idx="197">
                  <c:v>2.7712456287716769E-7</c:v>
                </c:pt>
                <c:pt idx="198">
                  <c:v>8.721633179999443E-8</c:v>
                </c:pt>
                <c:pt idx="199">
                  <c:v>2.5631302017477046E-8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22-421E-8EAC-91D12D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470.97075634723541</c:v>
                </c:pt>
                <c:pt idx="1">
                  <c:v>470.73521468634181</c:v>
                </c:pt>
                <c:pt idx="2">
                  <c:v>470.4861013279446</c:v>
                </c:pt>
                <c:pt idx="3">
                  <c:v>470.2226579352926</c:v>
                </c:pt>
                <c:pt idx="4">
                  <c:v>469.94408662001024</c:v>
                </c:pt>
                <c:pt idx="5">
                  <c:v>469.64954821696637</c:v>
                </c:pt>
                <c:pt idx="6">
                  <c:v>469.33816052548758</c:v>
                </c:pt>
                <c:pt idx="7">
                  <c:v>469.00899652206868</c:v>
                </c:pt>
                <c:pt idx="8">
                  <c:v>468.66108255070122</c:v>
                </c:pt>
                <c:pt idx="9">
                  <c:v>468.2933964980117</c:v>
                </c:pt>
                <c:pt idx="10">
                  <c:v>467.9048659615828</c:v>
                </c:pt>
                <c:pt idx="11">
                  <c:v>467.49436642112647</c:v>
                </c:pt>
                <c:pt idx="12">
                  <c:v>467.06071942359756</c:v>
                </c:pt>
                <c:pt idx="13">
                  <c:v>466.60269079487841</c:v>
                </c:pt>
                <c:pt idx="14">
                  <c:v>466.11898889233845</c:v>
                </c:pt>
                <c:pt idx="15">
                  <c:v>465.60826291438036</c:v>
                </c:pt>
                <c:pt idx="16">
                  <c:v>465.06910128501795</c:v>
                </c:pt>
                <c:pt idx="17">
                  <c:v>464.50003013360089</c:v>
                </c:pt>
                <c:pt idx="18">
                  <c:v>463.89951189199451</c:v>
                </c:pt>
                <c:pt idx="19">
                  <c:v>463.26594403383643</c:v>
                </c:pt>
                <c:pt idx="20">
                  <c:v>462.59765798290852</c:v>
                </c:pt>
                <c:pt idx="21">
                  <c:v>461.89291822017924</c:v>
                </c:pt>
                <c:pt idx="22">
                  <c:v>461.14992162164867</c:v>
                </c:pt>
                <c:pt idx="23">
                  <c:v>460.36679706175971</c:v>
                </c:pt>
                <c:pt idx="24">
                  <c:v>459.54160531977504</c:v>
                </c:pt>
                <c:pt idx="25">
                  <c:v>458.67233932913041</c:v>
                </c:pt>
                <c:pt idx="26">
                  <c:v>457.75692481230641</c:v>
                </c:pt>
                <c:pt idx="27">
                  <c:v>456.79322134616012</c:v>
                </c:pt>
                <c:pt idx="28">
                  <c:v>455.77902390485548</c:v>
                </c:pt>
                <c:pt idx="29">
                  <c:v>454.71206492945504</c:v>
                </c:pt>
                <c:pt idx="30">
                  <c:v>453.59001697479152</c:v>
                </c:pt>
                <c:pt idx="31">
                  <c:v>452.41049598534352</c:v>
                </c:pt>
                <c:pt idx="32">
                  <c:v>451.17106525237728</c:v>
                </c:pt>
                <c:pt idx="33">
                  <c:v>449.86924010447194</c:v>
                </c:pt>
                <c:pt idx="34">
                  <c:v>448.50249338260943</c:v>
                </c:pt>
                <c:pt idx="35">
                  <c:v>447.06826174913903</c:v>
                </c:pt>
                <c:pt idx="36">
                  <c:v>445.56395287698996</c:v>
                </c:pt>
                <c:pt idx="37">
                  <c:v>443.98695356138421</c:v>
                </c:pt>
                <c:pt idx="38">
                  <c:v>442.33463879084314</c:v>
                </c:pt>
                <c:pt idx="39">
                  <c:v>440.60438180738691</c:v>
                </c:pt>
                <c:pt idx="40">
                  <c:v>438.79356517736477</c:v>
                </c:pt>
                <c:pt idx="41">
                  <c:v>436.89959288425359</c:v>
                </c:pt>
                <c:pt idx="42">
                  <c:v>434.9199034429501</c:v>
                </c:pt>
                <c:pt idx="43">
                  <c:v>432.85198402152838</c:v>
                </c:pt>
                <c:pt idx="44">
                  <c:v>430.69338554115819</c:v>
                </c:pt>
                <c:pt idx="45">
                  <c:v>428.44173870793458</c:v>
                </c:pt>
                <c:pt idx="46">
                  <c:v>426.09477091188364</c:v>
                </c:pt>
                <c:pt idx="47">
                  <c:v>423.65032390855771</c:v>
                </c:pt>
                <c:pt idx="48">
                  <c:v>421.10637217768027</c:v>
                </c:pt>
                <c:pt idx="49">
                  <c:v>418.46104183157007</c:v>
                </c:pt>
                <c:pt idx="50">
                  <c:v>415.71262992396669</c:v>
                </c:pt>
                <c:pt idx="51">
                  <c:v>412.85962398789093</c:v>
                </c:pt>
                <c:pt idx="52">
                  <c:v>409.90072160983601</c:v>
                </c:pt>
                <c:pt idx="53">
                  <c:v>406.83484982752918</c:v>
                </c:pt>
                <c:pt idx="54">
                  <c:v>403.66118412037883</c:v>
                </c:pt>
                <c:pt idx="55">
                  <c:v>400.37916674623199</c:v>
                </c:pt>
                <c:pt idx="56">
                  <c:v>396.98852416591302</c:v>
                </c:pt>
                <c:pt idx="57">
                  <c:v>393.48928328888519</c:v>
                </c:pt>
                <c:pt idx="58">
                  <c:v>389.88178626992607</c:v>
                </c:pt>
                <c:pt idx="59">
                  <c:v>386.16670358849649</c:v>
                </c:pt>
                <c:pt idx="60">
                  <c:v>382.34504514999242</c:v>
                </c:pt>
                <c:pt idx="61">
                  <c:v>378.41816916161144</c:v>
                </c:pt>
                <c:pt idx="62">
                  <c:v>374.38778855532126</c:v>
                </c:pt>
                <c:pt idx="63">
                  <c:v>370.25597475634993</c:v>
                </c:pt>
                <c:pt idx="64">
                  <c:v>366.02515862749669</c:v>
                </c:pt>
                <c:pt idx="65">
                  <c:v>361.69812845694867</c:v>
                </c:pt>
                <c:pt idx="66">
                  <c:v>357.27802489950585</c:v>
                </c:pt>
                <c:pt idx="67">
                  <c:v>352.76833282730712</c:v>
                </c:pt>
                <c:pt idx="68">
                  <c:v>348.17287009525586</c:v>
                </c:pt>
                <c:pt idx="69">
                  <c:v>343.4957732771631</c:v>
                </c:pt>
                <c:pt idx="70">
                  <c:v>338.74148047983863</c:v>
                </c:pt>
                <c:pt idx="71">
                  <c:v>333.91471139259443</c:v>
                </c:pt>
                <c:pt idx="72">
                  <c:v>329.02044477748478</c:v>
                </c:pt>
                <c:pt idx="73">
                  <c:v>324.06389364975604</c:v>
                </c:pt>
                <c:pt idx="74">
                  <c:v>319.05047843717813</c:v>
                </c:pt>
                <c:pt idx="75">
                  <c:v>313.98579844008577</c:v>
                </c:pt>
                <c:pt idx="76">
                  <c:v>308.8756019401942</c:v>
                </c:pt>
                <c:pt idx="77">
                  <c:v>303.72575532490202</c:v>
                </c:pt>
                <c:pt idx="78">
                  <c:v>298.54221160446957</c:v>
                </c:pt>
                <c:pt idx="79">
                  <c:v>293.33097870202403</c:v>
                </c:pt>
                <c:pt idx="80">
                  <c:v>288.0980878909366</c:v>
                </c:pt>
                <c:pt idx="81">
                  <c:v>282.84956274113478</c:v>
                </c:pt>
                <c:pt idx="82">
                  <c:v>277.59138891596945</c:v>
                </c:pt>
                <c:pt idx="83">
                  <c:v>272.32948513517164</c:v>
                </c:pt>
                <c:pt idx="84">
                  <c:v>267.06967558817217</c:v>
                </c:pt>
                <c:pt idx="85">
                  <c:v>261.81766404669207</c:v>
                </c:pt>
                <c:pt idx="86">
                  <c:v>256.57900988718023</c:v>
                </c:pt>
                <c:pt idx="87">
                  <c:v>251.35910619351813</c:v>
                </c:pt>
                <c:pt idx="88">
                  <c:v>246.16316006955179</c:v>
                </c:pt>
                <c:pt idx="89">
                  <c:v>240.99617525049229</c:v>
                </c:pt>
                <c:pt idx="90">
                  <c:v>235.8629370629981</c:v>
                </c:pt>
                <c:pt idx="91">
                  <c:v>230.76799974663979</c:v>
                </c:pt>
                <c:pt idx="92">
                  <c:v>225.7156761151295</c:v>
                </c:pt>
                <c:pt idx="93">
                  <c:v>220.71002950471689</c:v>
                </c:pt>
                <c:pt idx="94">
                  <c:v>215.75486792988281</c:v>
                </c:pt>
                <c:pt idx="95">
                  <c:v>210.85374034314995</c:v>
                </c:pt>
                <c:pt idx="96">
                  <c:v>206.00993487657033</c:v>
                </c:pt>
                <c:pt idx="97">
                  <c:v>201.2264789272281</c:v>
                </c:pt>
                <c:pt idx="98">
                  <c:v>196.50614093778009</c:v>
                </c:pt>
                <c:pt idx="99">
                  <c:v>191.85143371544359</c:v>
                </c:pt>
                <c:pt idx="100">
                  <c:v>187.26461912863462</c:v>
                </c:pt>
                <c:pt idx="101">
                  <c:v>182.73160115380236</c:v>
                </c:pt>
                <c:pt idx="102">
                  <c:v>178.22486906657363</c:v>
                </c:pt>
                <c:pt idx="103">
                  <c:v>173.74880999479925</c:v>
                </c:pt>
                <c:pt idx="104">
                  <c:v>169.30841564999994</c:v>
                </c:pt>
                <c:pt idx="105">
                  <c:v>164.90844166716627</c:v>
                </c:pt>
                <c:pt idx="106">
                  <c:v>160.5533919596123</c:v>
                </c:pt>
                <c:pt idx="107">
                  <c:v>156.24750581425667</c:v>
                </c:pt>
                <c:pt idx="108">
                  <c:v>151.99474770864876</c:v>
                </c:pt>
                <c:pt idx="109">
                  <c:v>147.79879979162294</c:v>
                </c:pt>
                <c:pt idx="110">
                  <c:v>143.66305693439287</c:v>
                </c:pt>
                <c:pt idx="111">
                  <c:v>139.59062422862445</c:v>
                </c:pt>
                <c:pt idx="112">
                  <c:v>135.58431678279592</c:v>
                </c:pt>
                <c:pt idx="113">
                  <c:v>131.64666164804007</c:v>
                </c:pt>
                <c:pt idx="114">
                  <c:v>127.77263705121786</c:v>
                </c:pt>
                <c:pt idx="115">
                  <c:v>123.90109718725238</c:v>
                </c:pt>
                <c:pt idx="116">
                  <c:v>120.02347461884987</c:v>
                </c:pt>
                <c:pt idx="117">
                  <c:v>116.14692251201687</c:v>
                </c:pt>
                <c:pt idx="118">
                  <c:v>112.27863470682051</c:v>
                </c:pt>
                <c:pt idx="119">
                  <c:v>108.42579397286897</c:v>
                </c:pt>
                <c:pt idx="120">
                  <c:v>104.59551993972059</c:v>
                </c:pt>
                <c:pt idx="121">
                  <c:v>100.79481748536315</c:v>
                </c:pt>
                <c:pt idx="122">
                  <c:v>97.030526362934836</c:v>
                </c:pt>
                <c:pt idx="123">
                  <c:v>93.309272822987282</c:v>
                </c:pt>
                <c:pt idx="124">
                  <c:v>89.637423946442951</c:v>
                </c:pt>
                <c:pt idx="125">
                  <c:v>86.021045343367291</c:v>
                </c:pt>
                <c:pt idx="126">
                  <c:v>82.465862796807926</c:v>
                </c:pt>
                <c:pt idx="127">
                  <c:v>78.97722834188103</c:v>
                </c:pt>
                <c:pt idx="128">
                  <c:v>75.560091171087365</c:v>
                </c:pt>
                <c:pt idx="129">
                  <c:v>72.218973650885189</c:v>
                </c:pt>
                <c:pt idx="130">
                  <c:v>68.957952625340468</c:v>
                </c:pt>
                <c:pt idx="131">
                  <c:v>65.780646073694314</c:v>
                </c:pt>
                <c:pt idx="132">
                  <c:v>62.690205083231575</c:v>
                </c:pt>
                <c:pt idx="133">
                  <c:v>59.689310999886359</c:v>
                </c:pt>
                <c:pt idx="134">
                  <c:v>56.780177529141831</c:v>
                </c:pt>
                <c:pt idx="135">
                  <c:v>53.964557481029885</c:v>
                </c:pt>
                <c:pt idx="136">
                  <c:v>51.243753786917367</c:v>
                </c:pt>
                <c:pt idx="137">
                  <c:v>48.618634363214674</c:v>
                </c:pt>
                <c:pt idx="138">
                  <c:v>46.089650358542954</c:v>
                </c:pt>
                <c:pt idx="139">
                  <c:v>43.656857296107987</c:v>
                </c:pt>
                <c:pt idx="140">
                  <c:v>41.31993861145952</c:v>
                </c:pt>
                <c:pt idx="141">
                  <c:v>39.078231086482837</c:v>
                </c:pt>
                <c:pt idx="142">
                  <c:v>36.930751692095669</c:v>
                </c:pt>
                <c:pt idx="143">
                  <c:v>34.876225373213487</c:v>
                </c:pt>
                <c:pt idx="144">
                  <c:v>32.913113338474673</c:v>
                </c:pt>
                <c:pt idx="145">
                  <c:v>31.039641452313095</c:v>
                </c:pt>
                <c:pt idx="146">
                  <c:v>29.253813530570355</c:v>
                </c:pt>
                <c:pt idx="147">
                  <c:v>27.512369212958522</c:v>
                </c:pt>
                <c:pt idx="148">
                  <c:v>25.780664965551402</c:v>
                </c:pt>
                <c:pt idx="149">
                  <c:v>24.065078165038752</c:v>
                </c:pt>
                <c:pt idx="150">
                  <c:v>22.372182153755119</c:v>
                </c:pt>
                <c:pt idx="151">
                  <c:v>20.708675464589561</c:v>
                </c:pt>
                <c:pt idx="152">
                  <c:v>19.08130081097617</c:v>
                </c:pt>
                <c:pt idx="153">
                  <c:v>17.496754544446297</c:v>
                </c:pt>
                <c:pt idx="154">
                  <c:v>15.961587733673271</c:v>
                </c:pt>
                <c:pt idx="155">
                  <c:v>14.482100511853144</c:v>
                </c:pt>
                <c:pt idx="156">
                  <c:v>13.064231856753104</c:v>
                </c:pt>
                <c:pt idx="157">
                  <c:v>11.713447486785169</c:v>
                </c:pt>
                <c:pt idx="158">
                  <c:v>10.434629047780211</c:v>
                </c:pt>
                <c:pt idx="159">
                  <c:v>9.2319681937774796</c:v>
                </c:pt>
                <c:pt idx="160">
                  <c:v>8.1088694916042581</c:v>
                </c:pt>
                <c:pt idx="161">
                  <c:v>7.0678662612744807</c:v>
                </c:pt>
                <c:pt idx="162">
                  <c:v>6.1105534606508183</c:v>
                </c:pt>
                <c:pt idx="163">
                  <c:v>5.2375414959497446</c:v>
                </c:pt>
                <c:pt idx="164">
                  <c:v>4.4484343608205155</c:v>
                </c:pt>
                <c:pt idx="165">
                  <c:v>3.741834760944359</c:v>
                </c:pt>
                <c:pt idx="166">
                  <c:v>3.1153778721823038</c:v>
                </c:pt>
                <c:pt idx="167">
                  <c:v>2.5657941351745177</c:v>
                </c:pt>
                <c:pt idx="168">
                  <c:v>2.0890000609578454</c:v>
                </c:pt>
                <c:pt idx="169">
                  <c:v>1.6802144903795186</c:v>
                </c:pt>
                <c:pt idx="170">
                  <c:v>1.3340962190001273</c:v>
                </c:pt>
                <c:pt idx="171">
                  <c:v>1.0448974913527691</c:v>
                </c:pt>
                <c:pt idx="172">
                  <c:v>0.80662671498356264</c:v>
                </c:pt>
                <c:pt idx="173">
                  <c:v>0.61321297205858549</c:v>
                </c:pt>
                <c:pt idx="174">
                  <c:v>0.45866462053804036</c:v>
                </c:pt>
                <c:pt idx="175">
                  <c:v>0.33721454746223756</c:v>
                </c:pt>
                <c:pt idx="176">
                  <c:v>0.24344548229900689</c:v>
                </c:pt>
                <c:pt idx="177">
                  <c:v>0.17239015642140035</c:v>
                </c:pt>
                <c:pt idx="178">
                  <c:v>0.11960290027521701</c:v>
                </c:pt>
                <c:pt idx="179">
                  <c:v>8.1201340704722208E-2</c:v>
                </c:pt>
                <c:pt idx="180">
                  <c:v>5.3878994892014968E-2</c:v>
                </c:pt>
                <c:pt idx="181">
                  <c:v>3.4891536303776671E-2</c:v>
                </c:pt>
                <c:pt idx="182">
                  <c:v>2.2021127784714489E-2</c:v>
                </c:pt>
                <c:pt idx="183">
                  <c:v>1.3524317431006867E-2</c:v>
                </c:pt>
                <c:pt idx="184">
                  <c:v>8.0694829161345755E-3</c:v>
                </c:pt>
                <c:pt idx="185">
                  <c:v>4.6696813398812587E-3</c:v>
                </c:pt>
                <c:pt idx="186">
                  <c:v>2.6160892739143723E-3</c:v>
                </c:pt>
                <c:pt idx="187">
                  <c:v>1.4161445413590813E-3</c:v>
                </c:pt>
                <c:pt idx="188">
                  <c:v>7.3921168327634125E-4</c:v>
                </c:pt>
                <c:pt idx="189">
                  <c:v>3.7127904526993349E-4</c:v>
                </c:pt>
                <c:pt idx="190">
                  <c:v>1.7902395162618665E-4</c:v>
                </c:pt>
                <c:pt idx="191">
                  <c:v>8.2670562680789731E-5</c:v>
                </c:pt>
                <c:pt idx="192">
                  <c:v>3.6467622746952111E-5</c:v>
                </c:pt>
                <c:pt idx="193">
                  <c:v>1.5325077002679935E-5</c:v>
                </c:pt>
                <c:pt idx="194">
                  <c:v>6.1177054913637892E-6</c:v>
                </c:pt>
                <c:pt idx="195">
                  <c:v>2.3128275168429108E-6</c:v>
                </c:pt>
                <c:pt idx="196">
                  <c:v>8.2540380474099109E-7</c:v>
                </c:pt>
                <c:pt idx="197">
                  <c:v>2.7712456287716769E-7</c:v>
                </c:pt>
                <c:pt idx="198">
                  <c:v>8.721633179999443E-8</c:v>
                </c:pt>
                <c:pt idx="199">
                  <c:v>2.5631302017477046E-8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F-444F-9A16-E9E5A6A230B6}"/>
            </c:ext>
          </c:extLst>
        </c:ser>
        <c:ser>
          <c:idx val="2"/>
          <c:order val="1"/>
          <c:tx>
            <c:strRef>
              <c:f>Tests!$AB$32</c:f>
              <c:strCache>
                <c:ptCount val="1"/>
                <c:pt idx="0">
                  <c:v>Well Rates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170.07138757850726</c:v>
                </c:pt>
                <c:pt idx="1">
                  <c:v>590.92310768045616</c:v>
                </c:pt>
                <c:pt idx="2">
                  <c:v>376.41711086794885</c:v>
                </c:pt>
                <c:pt idx="3">
                  <c:v>221.78130709245693</c:v>
                </c:pt>
                <c:pt idx="4">
                  <c:v>189.39150459020343</c:v>
                </c:pt>
                <c:pt idx="5">
                  <c:v>190.4574171285287</c:v>
                </c:pt>
                <c:pt idx="6">
                  <c:v>237.87704167996984</c:v>
                </c:pt>
                <c:pt idx="7">
                  <c:v>226.40254133414697</c:v>
                </c:pt>
                <c:pt idx="8">
                  <c:v>220.42949271530074</c:v>
                </c:pt>
                <c:pt idx="9">
                  <c:v>171.112186557499</c:v>
                </c:pt>
                <c:pt idx="10">
                  <c:v>120.8602652280648</c:v>
                </c:pt>
                <c:pt idx="11">
                  <c:v>62.860323618823358</c:v>
                </c:pt>
                <c:pt idx="12">
                  <c:v>239.85744559468722</c:v>
                </c:pt>
                <c:pt idx="13">
                  <c:v>219.20138945658545</c:v>
                </c:pt>
                <c:pt idx="14">
                  <c:v>61.890101082382543</c:v>
                </c:pt>
                <c:pt idx="15">
                  <c:v>79.7141610990262</c:v>
                </c:pt>
                <c:pt idx="16">
                  <c:v>134.70021753469072</c:v>
                </c:pt>
                <c:pt idx="17">
                  <c:v>150.34954144303143</c:v>
                </c:pt>
                <c:pt idx="18">
                  <c:v>138.5716392474387</c:v>
                </c:pt>
                <c:pt idx="19">
                  <c:v>155.87946728278197</c:v>
                </c:pt>
                <c:pt idx="20">
                  <c:v>130.62530880361382</c:v>
                </c:pt>
                <c:pt idx="21">
                  <c:v>1</c:v>
                </c:pt>
                <c:pt idx="22">
                  <c:v>136.3839691813985</c:v>
                </c:pt>
                <c:pt idx="23">
                  <c:v>110.57664178920172</c:v>
                </c:pt>
                <c:pt idx="24">
                  <c:v>151.45041859406427</c:v>
                </c:pt>
                <c:pt idx="25">
                  <c:v>145.36906710975066</c:v>
                </c:pt>
                <c:pt idx="26">
                  <c:v>120.65412058182653</c:v>
                </c:pt>
                <c:pt idx="27">
                  <c:v>70.859002096158207</c:v>
                </c:pt>
                <c:pt idx="28">
                  <c:v>121.28803650218735</c:v>
                </c:pt>
                <c:pt idx="29">
                  <c:v>42.99842623436767</c:v>
                </c:pt>
                <c:pt idx="30">
                  <c:v>30.072186991405054</c:v>
                </c:pt>
                <c:pt idx="31">
                  <c:v>3.0630700507561914</c:v>
                </c:pt>
                <c:pt idx="32">
                  <c:v>117.18931777532457</c:v>
                </c:pt>
                <c:pt idx="33">
                  <c:v>130.34523353616669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F-444F-9A16-E9E5A6A230B6}"/>
            </c:ext>
          </c:extLst>
        </c:ser>
        <c:ser>
          <c:idx val="1"/>
          <c:order val="2"/>
          <c:tx>
            <c:strRef>
              <c:f>Tests!$Q$32</c:f>
              <c:strCache>
                <c:ptCount val="1"/>
                <c:pt idx="0">
                  <c:v>qMH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251.68761841416713</c:v>
                </c:pt>
                <c:pt idx="1">
                  <c:v>251.66870252975542</c:v>
                </c:pt>
                <c:pt idx="2">
                  <c:v>251.64866858394402</c:v>
                </c:pt>
                <c:pt idx="3">
                  <c:v>251.6274506654174</c:v>
                </c:pt>
                <c:pt idx="4">
                  <c:v>251.60497899848951</c:v>
                </c:pt>
                <c:pt idx="5">
                  <c:v>251.58117971911977</c:v>
                </c:pt>
                <c:pt idx="6">
                  <c:v>251.55597463826319</c:v>
                </c:pt>
                <c:pt idx="7">
                  <c:v>251.52928099187568</c:v>
                </c:pt>
                <c:pt idx="8">
                  <c:v>251.50101117686683</c:v>
                </c:pt>
                <c:pt idx="9">
                  <c:v>251.47107247225813</c:v>
                </c:pt>
                <c:pt idx="10">
                  <c:v>251.43936674477334</c:v>
                </c:pt>
                <c:pt idx="11">
                  <c:v>251.40579013805302</c:v>
                </c:pt>
                <c:pt idx="12">
                  <c:v>251.37023274465133</c:v>
                </c:pt>
                <c:pt idx="13">
                  <c:v>251.3325782599394</c:v>
                </c:pt>
                <c:pt idx="14">
                  <c:v>251.29270361700338</c:v>
                </c:pt>
                <c:pt idx="15">
                  <c:v>251.25047860159174</c:v>
                </c:pt>
                <c:pt idx="16">
                  <c:v>251.20576544613181</c:v>
                </c:pt>
                <c:pt idx="17">
                  <c:v>251.15841840179891</c:v>
                </c:pt>
                <c:pt idx="18">
                  <c:v>251.10828328759234</c:v>
                </c:pt>
                <c:pt idx="19">
                  <c:v>251.05519701533589</c:v>
                </c:pt>
                <c:pt idx="20">
                  <c:v>250.99898708949218</c:v>
                </c:pt>
                <c:pt idx="21">
                  <c:v>250.93947108065083</c:v>
                </c:pt>
                <c:pt idx="22">
                  <c:v>250.8764560715245</c:v>
                </c:pt>
                <c:pt idx="23">
                  <c:v>250.8097380742625</c:v>
                </c:pt>
                <c:pt idx="24">
                  <c:v>250.73910141787454</c:v>
                </c:pt>
                <c:pt idx="25">
                  <c:v>250.66431810454196</c:v>
                </c:pt>
                <c:pt idx="26">
                  <c:v>250.58514713358394</c:v>
                </c:pt>
                <c:pt idx="27">
                  <c:v>250.50133379184649</c:v>
                </c:pt>
                <c:pt idx="28">
                  <c:v>250.41260890928478</c:v>
                </c:pt>
                <c:pt idx="29">
                  <c:v>250.3186880785274</c:v>
                </c:pt>
                <c:pt idx="30">
                  <c:v>250.21927083723367</c:v>
                </c:pt>
                <c:pt idx="31">
                  <c:v>250.11403981209509</c:v>
                </c:pt>
                <c:pt idx="32">
                  <c:v>250.00265982338243</c:v>
                </c:pt>
                <c:pt idx="33">
                  <c:v>249.88477694900826</c:v>
                </c:pt>
                <c:pt idx="34">
                  <c:v>249.76001754716091</c:v>
                </c:pt>
                <c:pt idx="35">
                  <c:v>249.62798723667291</c:v>
                </c:pt>
                <c:pt idx="36">
                  <c:v>249.48826983441737</c:v>
                </c:pt>
                <c:pt idx="37">
                  <c:v>249.34042624918348</c:v>
                </c:pt>
                <c:pt idx="38">
                  <c:v>249.18399333166863</c:v>
                </c:pt>
                <c:pt idx="39">
                  <c:v>249.01848268044699</c:v>
                </c:pt>
                <c:pt idx="40">
                  <c:v>248.8433794040314</c:v>
                </c:pt>
                <c:pt idx="41">
                  <c:v>248.65814083944633</c:v>
                </c:pt>
                <c:pt idx="42">
                  <c:v>248.46219522807689</c:v>
                </c:pt>
                <c:pt idx="43">
                  <c:v>248.25494034995842</c:v>
                </c:pt>
                <c:pt idx="44">
                  <c:v>248.03574211812432</c:v>
                </c:pt>
                <c:pt idx="45">
                  <c:v>247.80393313515322</c:v>
                </c:pt>
                <c:pt idx="46">
                  <c:v>247.55881121463995</c:v>
                </c:pt>
                <c:pt idx="47">
                  <c:v>247.2996378709837</c:v>
                </c:pt>
                <c:pt idx="48">
                  <c:v>247.02563678162898</c:v>
                </c:pt>
                <c:pt idx="49">
                  <c:v>246.73599222673525</c:v>
                </c:pt>
                <c:pt idx="50">
                  <c:v>246.42984751218435</c:v>
                </c:pt>
                <c:pt idx="51">
                  <c:v>246.10630338287237</c:v>
                </c:pt>
                <c:pt idx="52">
                  <c:v>245.76441643438801</c:v>
                </c:pt>
                <c:pt idx="53">
                  <c:v>245.40319753244782</c:v>
                </c:pt>
                <c:pt idx="54">
                  <c:v>245.02161025086309</c:v>
                </c:pt>
                <c:pt idx="55">
                  <c:v>244.61856934034347</c:v>
                </c:pt>
                <c:pt idx="56">
                  <c:v>244.19293924212334</c:v>
                </c:pt>
                <c:pt idx="57">
                  <c:v>243.74353266221448</c:v>
                </c:pt>
                <c:pt idx="58">
                  <c:v>243.26910922406711</c:v>
                </c:pt>
                <c:pt idx="59">
                  <c:v>242.76837421954343</c:v>
                </c:pt>
                <c:pt idx="60">
                  <c:v>242.23997748039167</c:v>
                </c:pt>
                <c:pt idx="61">
                  <c:v>241.68251239483922</c:v>
                </c:pt>
                <c:pt idx="62">
                  <c:v>241.09451509650185</c:v>
                </c:pt>
                <c:pt idx="63">
                  <c:v>240.47446385552047</c:v>
                </c:pt>
                <c:pt idx="64">
                  <c:v>239.820778704677</c:v>
                </c:pt>
                <c:pt idx="65">
                  <c:v>239.13182133617821</c:v>
                </c:pt>
                <c:pt idx="66">
                  <c:v>238.40589530781941</c:v>
                </c:pt>
                <c:pt idx="67">
                  <c:v>237.64124660029862</c:v>
                </c:pt>
                <c:pt idx="68">
                  <c:v>236.83606457052028</c:v>
                </c:pt>
                <c:pt idx="69">
                  <c:v>235.9884833487406</c:v>
                </c:pt>
                <c:pt idx="70">
                  <c:v>235.09658373031505</c:v>
                </c:pt>
                <c:pt idx="71">
                  <c:v>234.15839561552747</c:v>
                </c:pt>
                <c:pt idx="72">
                  <c:v>233.17190105343209</c:v>
                </c:pt>
                <c:pt idx="73">
                  <c:v>232.13503794772078</c:v>
                </c:pt>
                <c:pt idx="74">
                  <c:v>231.04570448422294</c:v>
                </c:pt>
                <c:pt idx="75">
                  <c:v>229.9017643406323</c:v>
                </c:pt>
                <c:pt idx="76">
                  <c:v>228.70105273928036</c:v>
                </c:pt>
                <c:pt idx="77">
                  <c:v>227.44138340309431</c:v>
                </c:pt>
                <c:pt idx="78">
                  <c:v>226.12055647310717</c:v>
                </c:pt>
                <c:pt idx="79">
                  <c:v>224.73636744285565</c:v>
                </c:pt>
                <c:pt idx="80">
                  <c:v>223.28661716051138</c:v>
                </c:pt>
                <c:pt idx="81">
                  <c:v>221.76912294344976</c:v>
                </c:pt>
                <c:pt idx="82">
                  <c:v>220.18173084197304</c:v>
                </c:pt>
                <c:pt idx="83">
                  <c:v>218.52232907888114</c:v>
                </c:pt>
                <c:pt idx="84">
                  <c:v>216.78886267934439</c:v>
                </c:pt>
                <c:pt idx="85">
                  <c:v>214.97934929093319</c:v>
                </c:pt>
                <c:pt idx="86">
                  <c:v>213.09189617656875</c:v>
                </c:pt>
                <c:pt idx="87">
                  <c:v>211.12471834351331</c:v>
                </c:pt>
                <c:pt idx="88">
                  <c:v>209.07615774928817</c:v>
                </c:pt>
                <c:pt idx="89">
                  <c:v>206.94470350065873</c:v>
                </c:pt>
                <c:pt idx="90">
                  <c:v>204.7290129346878</c:v>
                </c:pt>
                <c:pt idx="91">
                  <c:v>202.4279334415821</c:v>
                </c:pt>
                <c:pt idx="92">
                  <c:v>200.04052485798249</c:v>
                </c:pt>
                <c:pt idx="93">
                  <c:v>197.56608222697048</c:v>
                </c:pt>
                <c:pt idx="94">
                  <c:v>195.00415868797594</c:v>
                </c:pt>
                <c:pt idx="95">
                  <c:v>192.35458822673897</c:v>
                </c:pt>
                <c:pt idx="96">
                  <c:v>189.61750798337405</c:v>
                </c:pt>
                <c:pt idx="97">
                  <c:v>186.79337978643633</c:v>
                </c:pt>
                <c:pt idx="98">
                  <c:v>183.88301055381817</c:v>
                </c:pt>
                <c:pt idx="99">
                  <c:v>180.88757117853655</c:v>
                </c:pt>
                <c:pt idx="100">
                  <c:v>177.80861350029082</c:v>
                </c:pt>
                <c:pt idx="101">
                  <c:v>174.64808495336632</c:v>
                </c:pt>
                <c:pt idx="102">
                  <c:v>171.4083404793036</c:v>
                </c:pt>
                <c:pt idx="103">
                  <c:v>168.0921512999075</c:v>
                </c:pt>
                <c:pt idx="104">
                  <c:v>164.70271016364967</c:v>
                </c:pt>
                <c:pt idx="105">
                  <c:v>161.24363270710018</c:v>
                </c:pt>
                <c:pt idx="106">
                  <c:v>157.71895461319869</c:v>
                </c:pt>
                <c:pt idx="107">
                  <c:v>154.13312430006582</c:v>
                </c:pt>
                <c:pt idx="108">
                  <c:v>150.49099093736862</c:v>
                </c:pt>
                <c:pt idx="109">
                  <c:v>146.7977876612411</c:v>
                </c:pt>
                <c:pt idx="110">
                  <c:v>143.05910994219064</c:v>
                </c:pt>
                <c:pt idx="111">
                  <c:v>139.28088915156977</c:v>
                </c:pt>
                <c:pt idx="112">
                  <c:v>135.46936146889217</c:v>
                </c:pt>
                <c:pt idx="113">
                  <c:v>131.63103237192811</c:v>
                </c:pt>
                <c:pt idx="114">
                  <c:v>127.77263705121788</c:v>
                </c:pt>
                <c:pt idx="115">
                  <c:v>123.9010971872524</c:v>
                </c:pt>
                <c:pt idx="116">
                  <c:v>120.0234746188499</c:v>
                </c:pt>
                <c:pt idx="117">
                  <c:v>116.14692251201689</c:v>
                </c:pt>
                <c:pt idx="118">
                  <c:v>112.27863470682057</c:v>
                </c:pt>
                <c:pt idx="119">
                  <c:v>108.42579397286899</c:v>
                </c:pt>
                <c:pt idx="120">
                  <c:v>104.59551993972063</c:v>
                </c:pt>
                <c:pt idx="121">
                  <c:v>100.79481748536317</c:v>
                </c:pt>
                <c:pt idx="122">
                  <c:v>97.030526362934836</c:v>
                </c:pt>
                <c:pt idx="123">
                  <c:v>93.309272822987339</c:v>
                </c:pt>
                <c:pt idx="124">
                  <c:v>89.637423946442979</c:v>
                </c:pt>
                <c:pt idx="125">
                  <c:v>86.021045343367319</c:v>
                </c:pt>
                <c:pt idx="126">
                  <c:v>82.465862796807954</c:v>
                </c:pt>
                <c:pt idx="127">
                  <c:v>78.977228341881045</c:v>
                </c:pt>
                <c:pt idx="128">
                  <c:v>75.560091171087365</c:v>
                </c:pt>
                <c:pt idx="129">
                  <c:v>72.218973650885189</c:v>
                </c:pt>
                <c:pt idx="130">
                  <c:v>68.957952625340496</c:v>
                </c:pt>
                <c:pt idx="131">
                  <c:v>65.780646073694328</c:v>
                </c:pt>
                <c:pt idx="132">
                  <c:v>62.690205083231596</c:v>
                </c:pt>
                <c:pt idx="133">
                  <c:v>59.689310999886381</c:v>
                </c:pt>
                <c:pt idx="134">
                  <c:v>56.780177529141838</c:v>
                </c:pt>
                <c:pt idx="135">
                  <c:v>53.964557481029907</c:v>
                </c:pt>
                <c:pt idx="136">
                  <c:v>51.243753786917374</c:v>
                </c:pt>
                <c:pt idx="137">
                  <c:v>48.618634363214689</c:v>
                </c:pt>
                <c:pt idx="138">
                  <c:v>46.089650358542961</c:v>
                </c:pt>
                <c:pt idx="139">
                  <c:v>43.656857296107994</c:v>
                </c:pt>
                <c:pt idx="140">
                  <c:v>41.319938611459527</c:v>
                </c:pt>
                <c:pt idx="141">
                  <c:v>39.078231086482845</c:v>
                </c:pt>
                <c:pt idx="142">
                  <c:v>36.930751692095683</c:v>
                </c:pt>
                <c:pt idx="143">
                  <c:v>34.876225373213487</c:v>
                </c:pt>
                <c:pt idx="144">
                  <c:v>32.91311333847468</c:v>
                </c:pt>
                <c:pt idx="145">
                  <c:v>31.039641452313106</c:v>
                </c:pt>
                <c:pt idx="146">
                  <c:v>29.253813530570355</c:v>
                </c:pt>
                <c:pt idx="147">
                  <c:v>27.512369212958522</c:v>
                </c:pt>
                <c:pt idx="148">
                  <c:v>25.780664965551402</c:v>
                </c:pt>
                <c:pt idx="149">
                  <c:v>24.065078165038752</c:v>
                </c:pt>
                <c:pt idx="150">
                  <c:v>22.372182153755119</c:v>
                </c:pt>
                <c:pt idx="151">
                  <c:v>20.708675464589561</c:v>
                </c:pt>
                <c:pt idx="152">
                  <c:v>19.08130081097617</c:v>
                </c:pt>
                <c:pt idx="153">
                  <c:v>17.496754544446297</c:v>
                </c:pt>
                <c:pt idx="154">
                  <c:v>15.961587733673271</c:v>
                </c:pt>
                <c:pt idx="155">
                  <c:v>14.482100511853144</c:v>
                </c:pt>
                <c:pt idx="156">
                  <c:v>13.064231856753104</c:v>
                </c:pt>
                <c:pt idx="157">
                  <c:v>11.713447486785169</c:v>
                </c:pt>
                <c:pt idx="158">
                  <c:v>10.434629047780211</c:v>
                </c:pt>
                <c:pt idx="159">
                  <c:v>9.2319681937774796</c:v>
                </c:pt>
                <c:pt idx="160">
                  <c:v>8.1088694916042581</c:v>
                </c:pt>
                <c:pt idx="161">
                  <c:v>7.0678662612744807</c:v>
                </c:pt>
                <c:pt idx="162">
                  <c:v>6.1105534606508183</c:v>
                </c:pt>
                <c:pt idx="163">
                  <c:v>5.2375414959497446</c:v>
                </c:pt>
                <c:pt idx="164">
                  <c:v>4.4484343608205155</c:v>
                </c:pt>
                <c:pt idx="165">
                  <c:v>3.741834760944359</c:v>
                </c:pt>
                <c:pt idx="166">
                  <c:v>3.1153778721823038</c:v>
                </c:pt>
                <c:pt idx="167">
                  <c:v>2.5657941351745177</c:v>
                </c:pt>
                <c:pt idx="168">
                  <c:v>2.0890000609578454</c:v>
                </c:pt>
                <c:pt idx="169">
                  <c:v>1.6802144903795186</c:v>
                </c:pt>
                <c:pt idx="170">
                  <c:v>1.3340962190001273</c:v>
                </c:pt>
                <c:pt idx="171">
                  <c:v>1.0448974913527691</c:v>
                </c:pt>
                <c:pt idx="172">
                  <c:v>0.80662671498356264</c:v>
                </c:pt>
                <c:pt idx="173">
                  <c:v>0.61321297205858549</c:v>
                </c:pt>
                <c:pt idx="174">
                  <c:v>0.45866462053804036</c:v>
                </c:pt>
                <c:pt idx="175">
                  <c:v>0.33721454746223756</c:v>
                </c:pt>
                <c:pt idx="176">
                  <c:v>0.24344548229900689</c:v>
                </c:pt>
                <c:pt idx="177">
                  <c:v>0.17239015642140035</c:v>
                </c:pt>
                <c:pt idx="178">
                  <c:v>0.11960290027521701</c:v>
                </c:pt>
                <c:pt idx="179">
                  <c:v>8.1201340704722208E-2</c:v>
                </c:pt>
                <c:pt idx="180">
                  <c:v>5.3878994892014968E-2</c:v>
                </c:pt>
                <c:pt idx="181">
                  <c:v>3.4891536303776671E-2</c:v>
                </c:pt>
                <c:pt idx="182">
                  <c:v>2.2021127784714489E-2</c:v>
                </c:pt>
                <c:pt idx="183">
                  <c:v>1.3524317431006867E-2</c:v>
                </c:pt>
                <c:pt idx="184">
                  <c:v>8.0694829161345755E-3</c:v>
                </c:pt>
                <c:pt idx="185">
                  <c:v>4.6696813398812587E-3</c:v>
                </c:pt>
                <c:pt idx="186">
                  <c:v>2.6160892739143723E-3</c:v>
                </c:pt>
                <c:pt idx="187">
                  <c:v>1.4161445413590813E-3</c:v>
                </c:pt>
                <c:pt idx="188">
                  <c:v>7.3921168327634125E-4</c:v>
                </c:pt>
                <c:pt idx="189">
                  <c:v>3.7127904526993349E-4</c:v>
                </c:pt>
                <c:pt idx="190">
                  <c:v>1.7902395162618665E-4</c:v>
                </c:pt>
                <c:pt idx="191">
                  <c:v>8.2670562680789731E-5</c:v>
                </c:pt>
                <c:pt idx="192">
                  <c:v>3.6467622746952111E-5</c:v>
                </c:pt>
                <c:pt idx="193">
                  <c:v>1.5325077002679935E-5</c:v>
                </c:pt>
                <c:pt idx="194">
                  <c:v>6.1177054913637892E-6</c:v>
                </c:pt>
                <c:pt idx="195">
                  <c:v>2.3128275168429108E-6</c:v>
                </c:pt>
                <c:pt idx="196">
                  <c:v>8.2540380474099109E-7</c:v>
                </c:pt>
                <c:pt idx="197">
                  <c:v>2.7712456287716769E-7</c:v>
                </c:pt>
                <c:pt idx="198">
                  <c:v>8.721633179999443E-8</c:v>
                </c:pt>
                <c:pt idx="199">
                  <c:v>2.5631302017477046E-8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F-444F-9A16-E9E5A6A2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Tests!$H$32</c:f>
              <c:strCache>
                <c:ptCount val="1"/>
                <c:pt idx="0">
                  <c:v>NNorm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Tests!$H$33:$H$158</c:f>
              <c:numCache>
                <c:formatCode>#,##0.00</c:formatCode>
                <c:ptCount val="126"/>
                <c:pt idx="0">
                  <c:v>0.44333733290078825</c:v>
                </c:pt>
                <c:pt idx="1">
                  <c:v>0.46948876209664719</c:v>
                </c:pt>
                <c:pt idx="2">
                  <c:v>0.49717550418698836</c:v>
                </c:pt>
                <c:pt idx="3">
                  <c:v>0.52648681800828823</c:v>
                </c:pt>
                <c:pt idx="4">
                  <c:v>0.55751704686240755</c:v>
                </c:pt>
                <c:pt idx="5">
                  <c:v>0.59036589570951392</c:v>
                </c:pt>
                <c:pt idx="6">
                  <c:v>0.62513872200548826</c:v>
                </c:pt>
                <c:pt idx="7">
                  <c:v>0.6619468406815433</c:v>
                </c:pt>
                <c:pt idx="8">
                  <c:v>0.7009078437603502</c:v>
                </c:pt>
                <c:pt idx="9">
                  <c:v>0.74214593509633453</c:v>
                </c:pt>
                <c:pt idx="10">
                  <c:v>0.78579228071714358</c:v>
                </c:pt>
                <c:pt idx="11">
                  <c:v>0.83198537522869997</c:v>
                </c:pt>
                <c:pt idx="12">
                  <c:v>0.88087142472648516</c:v>
                </c:pt>
                <c:pt idx="13">
                  <c:v>0.93260474663114534</c:v>
                </c:pt>
                <c:pt idx="14">
                  <c:v>0.98734818683583125</c:v>
                </c:pt>
                <c:pt idx="15">
                  <c:v>1.0452735545153145</c:v>
                </c:pt>
                <c:pt idx="16">
                  <c:v>1.1065620749031719</c:v>
                </c:pt>
                <c:pt idx="17">
                  <c:v>1.1714048602913099</c:v>
                </c:pt>
                <c:pt idx="18">
                  <c:v>1.2400033994460935</c:v>
                </c:pt>
                <c:pt idx="19">
                  <c:v>1.3125700655661579</c:v>
                </c:pt>
                <c:pt idx="20">
                  <c:v>1.3893286428287424</c:v>
                </c:pt>
                <c:pt idx="21">
                  <c:v>1.470514871482125</c:v>
                </c:pt>
                <c:pt idx="22">
                  <c:v>1.5563770113428688</c:v>
                </c:pt>
                <c:pt idx="23">
                  <c:v>1.6471764234454231</c:v>
                </c:pt>
                <c:pt idx="24">
                  <c:v>1.743188169469627</c:v>
                </c:pt>
                <c:pt idx="25">
                  <c:v>1.8447016284373716</c:v>
                </c:pt>
                <c:pt idx="26">
                  <c:v>1.9520211300232189</c:v>
                </c:pt>
                <c:pt idx="27">
                  <c:v>2.0654666036654388</c:v>
                </c:pt>
                <c:pt idx="28">
                  <c:v>2.1853742424933706</c:v>
                </c:pt>
                <c:pt idx="29">
                  <c:v>2.3120971809047295</c:v>
                </c:pt>
                <c:pt idx="30">
                  <c:v>2.4460061844342449</c:v>
                </c:pt>
                <c:pt idx="31">
                  <c:v>2.5874903503513318</c:v>
                </c:pt>
                <c:pt idx="32">
                  <c:v>2.7369578172136149</c:v>
                </c:pt>
                <c:pt idx="33">
                  <c:v>2.8948364813848864</c:v>
                </c:pt>
                <c:pt idx="34">
                  <c:v>3.0615747183030289</c:v>
                </c:pt>
                <c:pt idx="35">
                  <c:v>3.2376421060581477</c:v>
                </c:pt>
                <c:pt idx="36">
                  <c:v>3.4235301486179517</c:v>
                </c:pt>
                <c:pt idx="37">
                  <c:v>3.6197529958172128</c:v>
                </c:pt>
                <c:pt idx="38">
                  <c:v>3.8268481570183677</c:v>
                </c:pt>
                <c:pt idx="39">
                  <c:v>4.0453772051528345</c:v>
                </c:pt>
                <c:pt idx="40">
                  <c:v>4.2759264676745889</c:v>
                </c:pt>
                <c:pt idx="41">
                  <c:v>4.5191077008033602</c:v>
                </c:pt>
                <c:pt idx="42">
                  <c:v>4.7755587433111693</c:v>
                </c:pt>
                <c:pt idx="43">
                  <c:v>5.0459441460192531</c:v>
                </c:pt>
                <c:pt idx="44">
                  <c:v>5.3309557731286548</c:v>
                </c:pt>
                <c:pt idx="45">
                  <c:v>5.6313133715146995</c:v>
                </c:pt>
                <c:pt idx="46">
                  <c:v>5.9477651041783819</c:v>
                </c:pt>
                <c:pt idx="47">
                  <c:v>6.2810880441744459</c:v>
                </c:pt>
                <c:pt idx="48">
                  <c:v>6.6320886255303577</c:v>
                </c:pt>
                <c:pt idx="49">
                  <c:v>7.0016030479393621</c:v>
                </c:pt>
                <c:pt idx="50">
                  <c:v>7.3904976323574649</c:v>
                </c:pt>
                <c:pt idx="51">
                  <c:v>7.7996691250608094</c:v>
                </c:pt>
                <c:pt idx="52">
                  <c:v>8.2300449482289331</c:v>
                </c:pt>
                <c:pt idx="53">
                  <c:v>8.682583395708777</c:v>
                </c:pt>
                <c:pt idx="54">
                  <c:v>9.1582737732823123</c:v>
                </c:pt>
                <c:pt idx="55">
                  <c:v>9.6581364835016466</c:v>
                </c:pt>
                <c:pt idx="56">
                  <c:v>10.18322305596241</c:v>
                </c:pt>
                <c:pt idx="57">
                  <c:v>10.734616124749598</c:v>
                </c:pt>
                <c:pt idx="58">
                  <c:v>11.313429355696407</c:v>
                </c:pt>
                <c:pt idx="59">
                  <c:v>11.920807327033469</c:v>
                </c:pt>
                <c:pt idx="60">
                  <c:v>12.557925367954109</c:v>
                </c:pt>
                <c:pt idx="61">
                  <c:v>13.22598936056515</c:v>
                </c:pt>
                <c:pt idx="62">
                  <c:v>13.926235511609905</c:v>
                </c:pt>
                <c:pt idx="63">
                  <c:v>14.659930101222136</c:v>
                </c:pt>
                <c:pt idx="64">
                  <c:v>15.428369216774927</c:v>
                </c:pt>
                <c:pt idx="65">
                  <c:v>16.23287848060637</c:v>
                </c:pt>
                <c:pt idx="66">
                  <c:v>17.074812781016295</c:v>
                </c:pt>
                <c:pt idx="67">
                  <c:v>17.955556016417493</c:v>
                </c:pt>
                <c:pt idx="68">
                  <c:v>18.8765208628758</c:v>
                </c:pt>
                <c:pt idx="69">
                  <c:v>19.83914857547564</c:v>
                </c:pt>
                <c:pt idx="70">
                  <c:v>20.844908833992648</c:v>
                </c:pt>
                <c:pt idx="71">
                  <c:v>21.895299643239298</c:v>
                </c:pt>
                <c:pt idx="72">
                  <c:v>22.991847298173965</c:v>
                </c:pt>
                <c:pt idx="73">
                  <c:v>24.136106423433159</c:v>
                </c:pt>
                <c:pt idx="74">
                  <c:v>25.329660096370326</c:v>
                </c:pt>
                <c:pt idx="75">
                  <c:v>26.574120061976345</c:v>
                </c:pt>
                <c:pt idx="76">
                  <c:v>27.871127047231894</c:v>
                </c:pt>
                <c:pt idx="77">
                  <c:v>29.222351181522729</c:v>
                </c:pt>
                <c:pt idx="78">
                  <c:v>30.629492528754589</c:v>
                </c:pt>
                <c:pt idx="79">
                  <c:v>32.094281735760816</c:v>
                </c:pt>
                <c:pt idx="80">
                  <c:v>33.618480800526292</c:v>
                </c:pt>
                <c:pt idx="81">
                  <c:v>35.20388396267893</c:v>
                </c:pt>
                <c:pt idx="82">
                  <c:v>36.852318717650348</c:v>
                </c:pt>
                <c:pt idx="83">
                  <c:v>38.565646954899343</c:v>
                </c:pt>
                <c:pt idx="84">
                  <c:v>40.345766219646563</c:v>
                </c:pt>
                <c:pt idx="85">
                  <c:v>42.194611096702296</c:v>
                </c:pt>
                <c:pt idx="86">
                  <c:v>44.114154714194633</c:v>
                </c:pt>
                <c:pt idx="87">
                  <c:v>46.106410364334501</c:v>
                </c:pt>
                <c:pt idx="88">
                  <c:v>48.173433237791407</c:v>
                </c:pt>
                <c:pt idx="89">
                  <c:v>50.317322267806041</c:v>
                </c:pt>
                <c:pt idx="90">
                  <c:v>52.540222079831508</c:v>
                </c:pt>
                <c:pt idx="91">
                  <c:v>54.844325042272736</c:v>
                </c:pt>
                <c:pt idx="92">
                  <c:v>57.231873413779418</c:v>
                </c:pt>
                <c:pt idx="93">
                  <c:v>59.705161582533492</c:v>
                </c:pt>
                <c:pt idx="94">
                  <c:v>62.266538393051469</c:v>
                </c:pt>
                <c:pt idx="95">
                  <c:v>64.91840955618288</c:v>
                </c:pt>
                <c:pt idx="96">
                  <c:v>67.663240138221312</c:v>
                </c:pt>
                <c:pt idx="97">
                  <c:v>70.503557125339</c:v>
                </c:pt>
                <c:pt idx="98">
                  <c:v>73.441952059904594</c:v>
                </c:pt>
                <c:pt idx="99">
                  <c:v>76.481083745629235</c:v>
                </c:pt>
                <c:pt idx="100">
                  <c:v>79.623681018904435</c:v>
                </c:pt>
                <c:pt idx="101">
                  <c:v>82.872466744448133</c:v>
                </c:pt>
                <c:pt idx="102">
                  <c:v>86.229667418296216</c:v>
                </c:pt>
                <c:pt idx="103">
                  <c:v>89.6972794410989</c:v>
                </c:pt>
                <c:pt idx="104">
                  <c:v>93.277293504974168</c:v>
                </c:pt>
                <c:pt idx="105">
                  <c:v>96.971697406526644</c:v>
                </c:pt>
                <c:pt idx="106">
                  <c:v>100.7824782003036</c:v>
                </c:pt>
                <c:pt idx="107">
                  <c:v>104.71162452643806</c:v>
                </c:pt>
                <c:pt idx="108">
                  <c:v>108.76112909129573</c:v>
                </c:pt>
                <c:pt idx="109">
                  <c:v>112.93299127985586</c:v>
                </c:pt>
                <c:pt idx="110">
                  <c:v>117.22921987880055</c:v>
                </c:pt>
                <c:pt idx="111">
                  <c:v>121.65183588983935</c:v>
                </c:pt>
                <c:pt idx="112">
                  <c:v>126.20287541360526</c:v>
                </c:pt>
                <c:pt idx="113">
                  <c:v>130.88439258549701</c:v>
                </c:pt>
                <c:pt idx="114">
                  <c:v>135.69842498404634</c:v>
                </c:pt>
                <c:pt idx="115">
                  <c:v>140.64559340935344</c:v>
                </c:pt>
                <c:pt idx="116">
                  <c:v>145.72449958351234</c:v>
                </c:pt>
                <c:pt idx="117">
                  <c:v>150.93327659009103</c:v>
                </c:pt>
                <c:pt idx="118">
                  <c:v>156.26970269926133</c:v>
                </c:pt>
                <c:pt idx="119">
                  <c:v>161.73120596602973</c:v>
                </c:pt>
                <c:pt idx="120">
                  <c:v>167.31487153300225</c:v>
                </c:pt>
                <c:pt idx="121">
                  <c:v>173.0174515930417</c:v>
                </c:pt>
                <c:pt idx="122">
                  <c:v>178.83537792603983</c:v>
                </c:pt>
                <c:pt idx="123">
                  <c:v>184.76477688420417</c:v>
                </c:pt>
                <c:pt idx="124">
                  <c:v>190.80148666278916</c:v>
                </c:pt>
                <c:pt idx="125">
                  <c:v>196.94107665902939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3-4623-91C7-B943BB808A17}"/>
            </c:ext>
          </c:extLst>
        </c:ser>
        <c:ser>
          <c:idx val="2"/>
          <c:order val="1"/>
          <c:tx>
            <c:strRef>
              <c:f>Tests!$AA$32</c:f>
              <c:strCache>
                <c:ptCount val="1"/>
                <c:pt idx="0">
                  <c:v>Well Cum.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Tests!$AA$33:$AA$66</c:f>
              <c:numCache>
                <c:formatCode>#,##0.00</c:formatCode>
                <c:ptCount val="34"/>
                <c:pt idx="0">
                  <c:v>5.1565221578896452</c:v>
                </c:pt>
                <c:pt idx="1">
                  <c:v>18.118971218395515</c:v>
                </c:pt>
                <c:pt idx="2">
                  <c:v>28.423693968501887</c:v>
                </c:pt>
                <c:pt idx="3">
                  <c:v>36.299918091588175</c:v>
                </c:pt>
                <c:pt idx="4">
                  <c:v>43.254149926777309</c:v>
                </c:pt>
                <c:pt idx="5">
                  <c:v>49.964520806039133</c:v>
                </c:pt>
                <c:pt idx="6">
                  <c:v>57.217933688910719</c:v>
                </c:pt>
                <c:pt idx="7">
                  <c:v>64.089163857770046</c:v>
                </c:pt>
                <c:pt idx="8">
                  <c:v>70.693115379952744</c:v>
                </c:pt>
                <c:pt idx="9">
                  <c:v>76.374765304047045</c:v>
                </c:pt>
                <c:pt idx="10">
                  <c:v>81.047169875150814</c:v>
                </c:pt>
                <c:pt idx="11">
                  <c:v>84.350149009768558</c:v>
                </c:pt>
                <c:pt idx="12">
                  <c:v>90.68307517357691</c:v>
                </c:pt>
                <c:pt idx="13">
                  <c:v>96.631586417724677</c:v>
                </c:pt>
                <c:pt idx="14">
                  <c:v>99.740099305830768</c:v>
                </c:pt>
                <c:pt idx="15">
                  <c:v>103.21244312180355</c:v>
                </c:pt>
                <c:pt idx="16">
                  <c:v>107.65850868762767</c:v>
                </c:pt>
                <c:pt idx="17">
                  <c:v>112.28843664816964</c:v>
                </c:pt>
                <c:pt idx="18">
                  <c:v>116.67234241775466</c:v>
                </c:pt>
                <c:pt idx="19">
                  <c:v>121.26079791172857</c:v>
                </c:pt>
                <c:pt idx="20">
                  <c:v>125.40805899666003</c:v>
                </c:pt>
                <c:pt idx="21">
                  <c:v>125.59986135504649</c:v>
                </c:pt>
                <c:pt idx="22">
                  <c:v>129.73696183901785</c:v>
                </c:pt>
                <c:pt idx="23">
                  <c:v>133.42001461667277</c:v>
                </c:pt>
                <c:pt idx="24">
                  <c:v>137.68326636820427</c:v>
                </c:pt>
                <c:pt idx="25">
                  <c:v>141.81560052109339</c:v>
                </c:pt>
                <c:pt idx="26">
                  <c:v>145.54092186646588</c:v>
                </c:pt>
                <c:pt idx="27">
                  <c:v>148.36643966444765</c:v>
                </c:pt>
                <c:pt idx="28">
                  <c:v>152.02566894257336</c:v>
                </c:pt>
                <c:pt idx="29">
                  <c:v>154.18270288644277</c:v>
                </c:pt>
                <c:pt idx="30">
                  <c:v>155.96890680281822</c:v>
                </c:pt>
                <c:pt idx="31">
                  <c:v>156.53346734169193</c:v>
                </c:pt>
                <c:pt idx="32">
                  <c:v>159.99225020302754</c:v>
                </c:pt>
                <c:pt idx="33">
                  <c:v>163.6058154763023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3-4623-91C7-B943BB808A17}"/>
            </c:ext>
          </c:extLst>
        </c:ser>
        <c:ser>
          <c:idx val="6"/>
          <c:order val="2"/>
          <c:tx>
            <c:strRef>
              <c:f>Tests!$R$32</c:f>
              <c:strCache>
                <c:ptCount val="1"/>
                <c:pt idx="0">
                  <c:v>NMH,Norm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Tests!$R$33:$R$158</c:f>
              <c:numCache>
                <c:formatCode>#,##0.00</c:formatCode>
                <c:ptCount val="126"/>
                <c:pt idx="0">
                  <c:v>0.26513933339396106</c:v>
                </c:pt>
                <c:pt idx="1">
                  <c:v>0.28083927125457747</c:v>
                </c:pt>
                <c:pt idx="2">
                  <c:v>0.29746820206670355</c:v>
                </c:pt>
                <c:pt idx="3">
                  <c:v>0.31508101530966598</c:v>
                </c:pt>
                <c:pt idx="4">
                  <c:v>0.33373583377331872</c:v>
                </c:pt>
                <c:pt idx="5">
                  <c:v>0.35349420282167859</c:v>
                </c:pt>
                <c:pt idx="6">
                  <c:v>0.37442129058768125</c:v>
                </c:pt>
                <c:pt idx="7">
                  <c:v>0.3965860997152334</c:v>
                </c:pt>
                <c:pt idx="8">
                  <c:v>0.42006169129268722</c:v>
                </c:pt>
                <c:pt idx="9">
                  <c:v>0.44492542165855103</c:v>
                </c:pt>
                <c:pt idx="10">
                  <c:v>0.47125919279190276</c:v>
                </c:pt>
                <c:pt idx="11">
                  <c:v>0.49914971704181177</c:v>
                </c:pt>
                <c:pt idx="12">
                  <c:v>0.52868879698265092</c:v>
                </c:pt>
                <c:pt idx="13">
                  <c:v>0.55997362122463157</c:v>
                </c:pt>
                <c:pt idx="14">
                  <c:v>0.59310707704953303</c:v>
                </c:pt>
                <c:pt idx="15">
                  <c:v>0.62819808078417261</c:v>
                </c:pt>
                <c:pt idx="16">
                  <c:v>0.66536192686651152</c:v>
                </c:pt>
                <c:pt idx="17">
                  <c:v>0.70472065660754168</c:v>
                </c:pt>
                <c:pt idx="18">
                  <c:v>0.74640344769527245</c:v>
                </c:pt>
                <c:pt idx="19">
                  <c:v>0.79054702553837142</c:v>
                </c:pt>
                <c:pt idx="20">
                  <c:v>0.83729609759338852</c:v>
                </c:pt>
                <c:pt idx="21">
                  <c:v>0.88680381187094459</c:v>
                </c:pt>
                <c:pt idx="22">
                  <c:v>0.93923224086736012</c:v>
                </c:pt>
                <c:pt idx="23">
                  <c:v>0.99475289221983343</c:v>
                </c:pt>
                <c:pt idx="24">
                  <c:v>1.0535472474343834</c:v>
                </c:pt>
                <c:pt idx="25">
                  <c:v>1.1158073300898013</c:v>
                </c:pt>
                <c:pt idx="26">
                  <c:v>1.1817363049718281</c:v>
                </c:pt>
                <c:pt idx="27">
                  <c:v>1.251549109644944</c:v>
                </c:pt>
                <c:pt idx="28">
                  <c:v>1.3254731200185297</c:v>
                </c:pt>
                <c:pt idx="29">
                  <c:v>1.4037488515146188</c:v>
                </c:pt>
                <c:pt idx="30">
                  <c:v>1.4866306974935521</c:v>
                </c:pt>
                <c:pt idx="31">
                  <c:v>1.5743877066341385</c:v>
                </c:pt>
                <c:pt idx="32">
                  <c:v>1.6673044010134808</c:v>
                </c:pt>
                <c:pt idx="33">
                  <c:v>1.7656816366622023</c:v>
                </c:pt>
                <c:pt idx="34">
                  <c:v>1.8698375084077696</c:v>
                </c:pt>
                <c:pt idx="35">
                  <c:v>1.9801083008431193</c:v>
                </c:pt>
                <c:pt idx="36">
                  <c:v>2.096849487275561</c:v>
                </c:pt>
                <c:pt idx="37">
                  <c:v>2.2204367785208525</c:v>
                </c:pt>
                <c:pt idx="38">
                  <c:v>2.3512672234078056</c:v>
                </c:pt>
                <c:pt idx="39">
                  <c:v>2.4897603628444047</c:v>
                </c:pt>
                <c:pt idx="40">
                  <c:v>2.636359439268201</c:v>
                </c:pt>
                <c:pt idx="41">
                  <c:v>2.7915326632630939</c:v>
                </c:pt>
                <c:pt idx="42">
                  <c:v>2.9557745390596541</c:v>
                </c:pt>
                <c:pt idx="43">
                  <c:v>3.1296072505546384</c:v>
                </c:pt>
                <c:pt idx="44">
                  <c:v>3.3135821093741646</c:v>
                </c:pt>
                <c:pt idx="45">
                  <c:v>3.5082810663740651</c:v>
                </c:pt>
                <c:pt idx="46">
                  <c:v>3.7143182877996992</c:v>
                </c:pt>
                <c:pt idx="47">
                  <c:v>3.9323417971289394</c:v>
                </c:pt>
                <c:pt idx="48">
                  <c:v>4.16303518337992</c:v>
                </c:pt>
                <c:pt idx="49">
                  <c:v>4.4071193763806207</c:v>
                </c:pt>
                <c:pt idx="50">
                  <c:v>4.6653544891643888</c:v>
                </c:pt>
                <c:pt idx="51">
                  <c:v>4.9385417272667178</c:v>
                </c:pt>
                <c:pt idx="52">
                  <c:v>5.2275253642540109</c:v>
                </c:pt>
                <c:pt idx="53">
                  <c:v>5.5331947822993115</c:v>
                </c:pt>
                <c:pt idx="54">
                  <c:v>5.8564865760351745</c:v>
                </c:pt>
                <c:pt idx="55">
                  <c:v>6.1983867172520908</c:v>
                </c:pt>
                <c:pt idx="56">
                  <c:v>6.5599327772541027</c:v>
                </c:pt>
                <c:pt idx="57">
                  <c:v>6.9422162028485541</c:v>
                </c:pt>
                <c:pt idx="58">
                  <c:v>7.3463846409908609</c:v>
                </c:pt>
                <c:pt idx="59">
                  <c:v>7.7736443060609641</c:v>
                </c:pt>
                <c:pt idx="60">
                  <c:v>8.2252623825737263</c:v>
                </c:pt>
                <c:pt idx="61">
                  <c:v>8.7025694548319823</c:v>
                </c:pt>
                <c:pt idx="62">
                  <c:v>9.2069619536089622</c:v>
                </c:pt>
                <c:pt idx="63">
                  <c:v>9.739904608385789</c:v>
                </c:pt>
                <c:pt idx="64">
                  <c:v>10.302932891963284</c:v>
                </c:pt>
                <c:pt idx="65">
                  <c:v>10.897655442419671</c:v>
                </c:pt>
                <c:pt idx="66">
                  <c:v>11.525756445379752</c:v>
                </c:pt>
                <c:pt idx="67">
                  <c:v>12.188997957411386</c:v>
                </c:pt>
                <c:pt idx="68">
                  <c:v>12.889222149054726</c:v>
                </c:pt>
                <c:pt idx="69">
                  <c:v>13.628353443541895</c:v>
                </c:pt>
                <c:pt idx="70">
                  <c:v>14.408400524666025</c:v>
                </c:pt>
                <c:pt idx="71">
                  <c:v>15.231458184540735</c:v>
                </c:pt>
                <c:pt idx="72">
                  <c:v>16.099708979149018</c:v>
                </c:pt>
                <c:pt idx="73">
                  <c:v>17.015424656652204</c:v>
                </c:pt>
                <c:pt idx="74">
                  <c:v>17.980967320433621</c:v>
                </c:pt>
                <c:pt idx="75">
                  <c:v>18.998790285818941</c:v>
                </c:pt>
                <c:pt idx="76">
                  <c:v>20.071438586399577</c:v>
                </c:pt>
                <c:pt idx="77">
                  <c:v>21.201549082917072</c:v>
                </c:pt>
                <c:pt idx="78">
                  <c:v>22.391850124830878</c:v>
                </c:pt>
                <c:pt idx="79">
                  <c:v>23.645160712025532</c:v>
                </c:pt>
                <c:pt idx="80">
                  <c:v>24.964389101727924</c:v>
                </c:pt>
                <c:pt idx="81">
                  <c:v>26.3525308036611</c:v>
                </c:pt>
                <c:pt idx="82">
                  <c:v>27.812665904881992</c:v>
                </c:pt>
                <c:pt idx="83">
                  <c:v>29.347955664721496</c:v>
                </c:pt>
                <c:pt idx="84">
                  <c:v>30.961638319914677</c:v>
                </c:pt>
                <c:pt idx="85">
                  <c:v>32.657024040470709</c:v>
                </c:pt>
                <c:pt idx="86">
                  <c:v>34.4374889782503</c:v>
                </c:pt>
                <c:pt idx="87">
                  <c:v>36.306468352707327</c:v>
                </c:pt>
                <c:pt idx="88">
                  <c:v>38.267448521963217</c:v>
                </c:pt>
                <c:pt idx="89">
                  <c:v>40.32395799244388</c:v>
                </c:pt>
                <c:pt idx="90">
                  <c:v>42.479557326852934</c:v>
                </c:pt>
                <c:pt idx="91">
                  <c:v>44.737827918388788</c:v>
                </c:pt>
                <c:pt idx="92">
                  <c:v>47.10235960893916</c:v>
                </c:pt>
                <c:pt idx="93">
                  <c:v>49.57673714056515</c:v>
                </c:pt>
                <c:pt idx="94">
                  <c:v>52.164525442954584</c:v>
                </c:pt>
                <c:pt idx="95">
                  <c:v>54.869253774682029</c:v>
                </c:pt>
                <c:pt idx="96">
                  <c:v>57.694398752987738</c:v>
                </c:pt>
                <c:pt idx="97">
                  <c:v>60.643366325286621</c:v>
                </c:pt>
                <c:pt idx="98">
                  <c:v>63.719472755552779</c:v>
                </c:pt>
                <c:pt idx="99">
                  <c:v>66.925924719856482</c:v>
                </c:pt>
                <c:pt idx="100">
                  <c:v>70.265798627347436</c:v>
                </c:pt>
                <c:pt idx="101">
                  <c:v>73.742019305490501</c:v>
                </c:pt>
                <c:pt idx="102">
                  <c:v>77.357338210903023</c:v>
                </c:pt>
                <c:pt idx="103">
                  <c:v>81.114311349210894</c:v>
                </c:pt>
                <c:pt idx="104">
                  <c:v>85.015277108324469</c:v>
                </c:pt>
                <c:pt idx="105">
                  <c:v>89.062334228834573</c:v>
                </c:pt>
                <c:pt idx="106">
                  <c:v>93.257320152166429</c:v>
                </c:pt>
                <c:pt idx="107">
                  <c:v>97.601790001050745</c:v>
                </c:pt>
                <c:pt idx="108">
                  <c:v>102.09699645712693</c:v>
                </c:pt>
                <c:pt idx="109">
                  <c:v>106.74387080646757</c:v>
                </c:pt>
                <c:pt idx="110">
                  <c:v>111.54300542497177</c:v>
                </c:pt>
                <c:pt idx="111">
                  <c:v>116.49463797147165</c:v>
                </c:pt>
                <c:pt idx="112">
                  <c:v>121.59863754671152</c:v>
                </c:pt>
                <c:pt idx="113">
                  <c:v>126.85449306092147</c:v>
                </c:pt>
                <c:pt idx="114">
                  <c:v>132.26130403151086</c:v>
                </c:pt>
                <c:pt idx="115">
                  <c:v>137.81777400563388</c:v>
                </c:pt>
                <c:pt idx="116">
                  <c:v>143.52220677039284</c:v>
                </c:pt>
                <c:pt idx="117">
                  <c:v>149.372505476801</c:v>
                </c:pt>
                <c:pt idx="118">
                  <c:v>155.36617476306364</c:v>
                </c:pt>
                <c:pt idx="119">
                  <c:v>161.50032591913435</c:v>
                </c:pt>
                <c:pt idx="120">
                  <c:v>167.7716850889006</c:v>
                </c:pt>
                <c:pt idx="121">
                  <c:v>174.17660445985885</c:v>
                </c:pt>
                <c:pt idx="122">
                  <c:v>180.71107634393613</c:v>
                </c:pt>
                <c:pt idx="123">
                  <c:v>187.37075000839025</c:v>
                </c:pt>
                <c:pt idx="124">
                  <c:v>194.15095107363319</c:v>
                </c:pt>
                <c:pt idx="125">
                  <c:v>201.0467032564423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9-469F-9AAE-052E69FF3612}"/>
            </c:ext>
          </c:extLst>
        </c:ser>
        <c:ser>
          <c:idx val="1"/>
          <c:order val="3"/>
          <c:tx>
            <c:strRef>
              <c:f>Tests!$AE$32</c:f>
              <c:strCache>
                <c:ptCount val="1"/>
                <c:pt idx="0">
                  <c:v>EUR_t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Tests!$AE$33:$AE$66</c:f>
              <c:numCache>
                <c:formatCode>#,##0.00</c:formatCode>
                <c:ptCount val="34"/>
                <c:pt idx="0">
                  <c:v>476.04398818234625</c:v>
                </c:pt>
                <c:pt idx="1">
                  <c:v>478.02024600046025</c:v>
                </c:pt>
                <c:pt idx="2">
                  <c:v>478.6380388838902</c:v>
                </c:pt>
                <c:pt idx="3">
                  <c:v>477.75209523155974</c:v>
                </c:pt>
                <c:pt idx="4">
                  <c:v>476.6458185538217</c:v>
                </c:pt>
                <c:pt idx="5">
                  <c:v>475.85170015382545</c:v>
                </c:pt>
                <c:pt idx="6">
                  <c:v>476.05534303508472</c:v>
                </c:pt>
                <c:pt idx="7">
                  <c:v>476.25769063626888</c:v>
                </c:pt>
                <c:pt idx="8">
                  <c:v>476.51786502479513</c:v>
                </c:pt>
                <c:pt idx="9">
                  <c:v>476.13747808405486</c:v>
                </c:pt>
                <c:pt idx="10">
                  <c:v>474.9950816311316</c:v>
                </c:pt>
                <c:pt idx="11">
                  <c:v>472.70288764831616</c:v>
                </c:pt>
                <c:pt idx="12">
                  <c:v>473.63945362670768</c:v>
                </c:pt>
                <c:pt idx="13">
                  <c:v>474.37330774533376</c:v>
                </c:pt>
                <c:pt idx="14">
                  <c:v>472.4340088838502</c:v>
                </c:pt>
                <c:pt idx="15">
                  <c:v>471.01239074662988</c:v>
                </c:pt>
                <c:pt idx="16">
                  <c:v>470.70690350016662</c:v>
                </c:pt>
                <c:pt idx="17">
                  <c:v>470.71755667597182</c:v>
                </c:pt>
                <c:pt idx="18">
                  <c:v>470.60544604818722</c:v>
                </c:pt>
                <c:pt idx="19">
                  <c:v>470.81307396196388</c:v>
                </c:pt>
                <c:pt idx="20">
                  <c:v>470.68744411197588</c:v>
                </c:pt>
                <c:pt idx="21">
                  <c:v>466.70774747949281</c:v>
                </c:pt>
                <c:pt idx="22">
                  <c:v>466.76881193180242</c:v>
                </c:pt>
                <c:pt idx="23">
                  <c:v>466.46590126118542</c:v>
                </c:pt>
                <c:pt idx="24">
                  <c:v>466.82852795928363</c:v>
                </c:pt>
                <c:pt idx="25">
                  <c:v>467.14208646147097</c:v>
                </c:pt>
                <c:pt idx="26">
                  <c:v>467.12745725487116</c:v>
                </c:pt>
                <c:pt idx="27">
                  <c:v>466.2889838386518</c:v>
                </c:pt>
                <c:pt idx="28">
                  <c:v>466.35746327978643</c:v>
                </c:pt>
                <c:pt idx="29">
                  <c:v>464.99440880152486</c:v>
                </c:pt>
                <c:pt idx="30">
                  <c:v>463.32873473450923</c:v>
                </c:pt>
                <c:pt idx="31">
                  <c:v>460.50729744240618</c:v>
                </c:pt>
                <c:pt idx="32">
                  <c:v>460.6437453811626</c:v>
                </c:pt>
                <c:pt idx="33">
                  <c:v>460.99652738049144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33-4623-91C7-B943BB808A17}"/>
            </c:ext>
          </c:extLst>
        </c:ser>
        <c:ser>
          <c:idx val="3"/>
          <c:order val="4"/>
          <c:tx>
            <c:strRef>
              <c:f>Tests!$AF$32</c:f>
              <c:strCache>
                <c:ptCount val="1"/>
                <c:pt idx="0">
                  <c:v>EUR_qf</c:v>
                </c:pt>
              </c:strCache>
            </c:strRef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Tests!$AF$33:$AF$66</c:f>
              <c:numCache>
                <c:formatCode>General</c:formatCode>
                <c:ptCount val="34"/>
                <c:pt idx="0">
                  <c:v>505.67325616196422</c:v>
                </c:pt>
                <c:pt idx="1">
                  <c:v>507.64951398007821</c:v>
                </c:pt>
                <c:pt idx="2">
                  <c:v>508.26730686350811</c:v>
                </c:pt>
                <c:pt idx="3">
                  <c:v>507.3813632111777</c:v>
                </c:pt>
                <c:pt idx="4">
                  <c:v>506.27508653343966</c:v>
                </c:pt>
                <c:pt idx="5">
                  <c:v>505.48096813344341</c:v>
                </c:pt>
                <c:pt idx="6">
                  <c:v>505.68461101470268</c:v>
                </c:pt>
                <c:pt idx="7">
                  <c:v>505.88695861588684</c:v>
                </c:pt>
                <c:pt idx="8">
                  <c:v>506.14713300441309</c:v>
                </c:pt>
                <c:pt idx="9">
                  <c:v>505.76674606367283</c:v>
                </c:pt>
                <c:pt idx="10">
                  <c:v>504.62434961074956</c:v>
                </c:pt>
                <c:pt idx="11">
                  <c:v>502.33215562793418</c:v>
                </c:pt>
                <c:pt idx="12">
                  <c:v>503.26872160632558</c:v>
                </c:pt>
                <c:pt idx="13">
                  <c:v>504.00257572495173</c:v>
                </c:pt>
                <c:pt idx="14">
                  <c:v>502.06327686346816</c:v>
                </c:pt>
                <c:pt idx="15">
                  <c:v>500.6416587262479</c:v>
                </c:pt>
                <c:pt idx="16">
                  <c:v>500.33617147978458</c:v>
                </c:pt>
                <c:pt idx="17">
                  <c:v>500.34682465558978</c:v>
                </c:pt>
                <c:pt idx="18">
                  <c:v>500.23471402780518</c:v>
                </c:pt>
                <c:pt idx="19">
                  <c:v>500.44234194158184</c:v>
                </c:pt>
                <c:pt idx="20">
                  <c:v>500.3167120915939</c:v>
                </c:pt>
                <c:pt idx="21">
                  <c:v>496.33701545911077</c:v>
                </c:pt>
                <c:pt idx="22">
                  <c:v>496.39807991142038</c:v>
                </c:pt>
                <c:pt idx="23">
                  <c:v>496.09516924080344</c:v>
                </c:pt>
                <c:pt idx="24">
                  <c:v>496.4577959389016</c:v>
                </c:pt>
                <c:pt idx="25">
                  <c:v>496.77135444108893</c:v>
                </c:pt>
                <c:pt idx="26">
                  <c:v>496.75672523448912</c:v>
                </c:pt>
                <c:pt idx="27">
                  <c:v>495.91825181826977</c:v>
                </c:pt>
                <c:pt idx="28">
                  <c:v>495.98673125940434</c:v>
                </c:pt>
                <c:pt idx="29">
                  <c:v>494.62367678114288</c:v>
                </c:pt>
                <c:pt idx="30">
                  <c:v>492.95800271412713</c:v>
                </c:pt>
                <c:pt idx="31">
                  <c:v>490.13656542202409</c:v>
                </c:pt>
                <c:pt idx="32">
                  <c:v>490.27301336078062</c:v>
                </c:pt>
                <c:pt idx="33">
                  <c:v>490.62579536010935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33-4623-91C7-B943BB808A17}"/>
            </c:ext>
          </c:extLst>
        </c:ser>
        <c:ser>
          <c:idx val="4"/>
          <c:order val="5"/>
          <c:tx>
            <c:strRef>
              <c:f>Tests!$AC$32</c:f>
              <c:strCache>
                <c:ptCount val="1"/>
                <c:pt idx="0">
                  <c:v>Cum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Tests!$AC$33:$AC$66</c:f>
              <c:numCache>
                <c:formatCode>#,##0.00</c:formatCode>
                <c:ptCount val="34"/>
                <c:pt idx="0">
                  <c:v>483.89964063591248</c:v>
                </c:pt>
                <c:pt idx="1">
                  <c:v>483.89964063591248</c:v>
                </c:pt>
                <c:pt idx="2">
                  <c:v>483.89964063591248</c:v>
                </c:pt>
                <c:pt idx="3">
                  <c:v>483.89964063591248</c:v>
                </c:pt>
                <c:pt idx="4">
                  <c:v>483.89964063591248</c:v>
                </c:pt>
                <c:pt idx="5">
                  <c:v>483.89964063591248</c:v>
                </c:pt>
                <c:pt idx="6">
                  <c:v>483.89964063591248</c:v>
                </c:pt>
                <c:pt idx="7">
                  <c:v>483.89964063591248</c:v>
                </c:pt>
                <c:pt idx="8">
                  <c:v>483.89964063591248</c:v>
                </c:pt>
                <c:pt idx="9">
                  <c:v>483.89964063591248</c:v>
                </c:pt>
                <c:pt idx="10">
                  <c:v>483.89964063591248</c:v>
                </c:pt>
                <c:pt idx="11">
                  <c:v>483.89964063591248</c:v>
                </c:pt>
                <c:pt idx="12">
                  <c:v>483.89964063591248</c:v>
                </c:pt>
                <c:pt idx="13">
                  <c:v>483.89964063591248</c:v>
                </c:pt>
                <c:pt idx="14">
                  <c:v>483.89964063591248</c:v>
                </c:pt>
                <c:pt idx="15">
                  <c:v>483.89964063591248</c:v>
                </c:pt>
                <c:pt idx="16">
                  <c:v>483.89964063591248</c:v>
                </c:pt>
                <c:pt idx="17">
                  <c:v>483.89964063591248</c:v>
                </c:pt>
                <c:pt idx="18">
                  <c:v>483.89964063591248</c:v>
                </c:pt>
                <c:pt idx="19">
                  <c:v>483.89964063591248</c:v>
                </c:pt>
                <c:pt idx="20">
                  <c:v>483.89964063591248</c:v>
                </c:pt>
                <c:pt idx="21">
                  <c:v>483.89964063591248</c:v>
                </c:pt>
                <c:pt idx="22">
                  <c:v>483.89964063591248</c:v>
                </c:pt>
                <c:pt idx="23">
                  <c:v>483.89964063591248</c:v>
                </c:pt>
                <c:pt idx="24">
                  <c:v>483.89964063591248</c:v>
                </c:pt>
                <c:pt idx="25">
                  <c:v>483.89964063591248</c:v>
                </c:pt>
                <c:pt idx="26">
                  <c:v>483.89964063591248</c:v>
                </c:pt>
                <c:pt idx="27">
                  <c:v>483.89964063591248</c:v>
                </c:pt>
                <c:pt idx="28">
                  <c:v>483.89964063591248</c:v>
                </c:pt>
                <c:pt idx="29">
                  <c:v>483.89964063591248</c:v>
                </c:pt>
                <c:pt idx="30">
                  <c:v>483.89964063591248</c:v>
                </c:pt>
                <c:pt idx="31">
                  <c:v>483.89964063591248</c:v>
                </c:pt>
                <c:pt idx="32">
                  <c:v>483.89964063591248</c:v>
                </c:pt>
                <c:pt idx="33">
                  <c:v>483.89964063591248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33-4623-91C7-B943BB808A17}"/>
            </c:ext>
          </c:extLst>
        </c:ser>
        <c:ser>
          <c:idx val="5"/>
          <c:order val="6"/>
          <c:tx>
            <c:strRef>
              <c:f>Tests!$AD$32</c:f>
              <c:strCache>
                <c:ptCount val="1"/>
                <c:pt idx="0">
                  <c:v>Cum_qf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Tests!$AD$33:$AD$66</c:f>
              <c:numCache>
                <c:formatCode>General</c:formatCode>
                <c:ptCount val="34"/>
                <c:pt idx="0">
                  <c:v>513.52890861553044</c:v>
                </c:pt>
                <c:pt idx="1">
                  <c:v>513.52890861553044</c:v>
                </c:pt>
                <c:pt idx="2">
                  <c:v>513.52890861553044</c:v>
                </c:pt>
                <c:pt idx="3">
                  <c:v>513.52890861553044</c:v>
                </c:pt>
                <c:pt idx="4">
                  <c:v>513.52890861553044</c:v>
                </c:pt>
                <c:pt idx="5">
                  <c:v>513.52890861553044</c:v>
                </c:pt>
                <c:pt idx="6">
                  <c:v>513.52890861553044</c:v>
                </c:pt>
                <c:pt idx="7">
                  <c:v>513.52890861553044</c:v>
                </c:pt>
                <c:pt idx="8">
                  <c:v>513.52890861553044</c:v>
                </c:pt>
                <c:pt idx="9">
                  <c:v>513.52890861553044</c:v>
                </c:pt>
                <c:pt idx="10">
                  <c:v>513.52890861553044</c:v>
                </c:pt>
                <c:pt idx="11">
                  <c:v>513.52890861553044</c:v>
                </c:pt>
                <c:pt idx="12">
                  <c:v>513.52890861553044</c:v>
                </c:pt>
                <c:pt idx="13">
                  <c:v>513.52890861553044</c:v>
                </c:pt>
                <c:pt idx="14">
                  <c:v>513.52890861553044</c:v>
                </c:pt>
                <c:pt idx="15">
                  <c:v>513.52890861553044</c:v>
                </c:pt>
                <c:pt idx="16">
                  <c:v>513.52890861553044</c:v>
                </c:pt>
                <c:pt idx="17">
                  <c:v>513.52890861553044</c:v>
                </c:pt>
                <c:pt idx="18">
                  <c:v>513.52890861553044</c:v>
                </c:pt>
                <c:pt idx="19">
                  <c:v>513.52890861553044</c:v>
                </c:pt>
                <c:pt idx="20">
                  <c:v>513.52890861553044</c:v>
                </c:pt>
                <c:pt idx="21">
                  <c:v>513.52890861553044</c:v>
                </c:pt>
                <c:pt idx="22">
                  <c:v>513.52890861553044</c:v>
                </c:pt>
                <c:pt idx="23">
                  <c:v>513.52890861553044</c:v>
                </c:pt>
                <c:pt idx="24">
                  <c:v>513.52890861553044</c:v>
                </c:pt>
                <c:pt idx="25">
                  <c:v>513.52890861553044</c:v>
                </c:pt>
                <c:pt idx="26">
                  <c:v>513.52890861553044</c:v>
                </c:pt>
                <c:pt idx="27">
                  <c:v>513.52890861553044</c:v>
                </c:pt>
                <c:pt idx="28">
                  <c:v>513.52890861553044</c:v>
                </c:pt>
                <c:pt idx="29">
                  <c:v>513.52890861553044</c:v>
                </c:pt>
                <c:pt idx="30">
                  <c:v>513.52890861553044</c:v>
                </c:pt>
                <c:pt idx="31">
                  <c:v>513.52890861553044</c:v>
                </c:pt>
                <c:pt idx="32">
                  <c:v>513.52890861553044</c:v>
                </c:pt>
                <c:pt idx="33">
                  <c:v>513.52890861553044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33-4623-91C7-B943BB8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13</xdr:row>
      <xdr:rowOff>0</xdr:rowOff>
    </xdr:from>
    <xdr:to>
      <xdr:col>8</xdr:col>
      <xdr:colOff>213360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15802-01CD-4361-B78D-9FAB59F6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0</xdr:colOff>
      <xdr:row>13</xdr:row>
      <xdr:rowOff>0</xdr:rowOff>
    </xdr:from>
    <xdr:to>
      <xdr:col>16</xdr:col>
      <xdr:colOff>209550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75200B-6CC3-4C0C-950B-D672708A9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0</xdr:colOff>
      <xdr:row>13</xdr:row>
      <xdr:rowOff>0</xdr:rowOff>
    </xdr:from>
    <xdr:to>
      <xdr:col>24</xdr:col>
      <xdr:colOff>213360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F077F-C0D4-4B79-9F17-F9B25B808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AED8-68C3-4E29-B4A9-90D7CA2F3630}">
  <sheetPr codeName="Sheet1"/>
  <dimension ref="B2:AF232"/>
  <sheetViews>
    <sheetView tabSelected="1" workbookViewId="0"/>
  </sheetViews>
  <sheetFormatPr defaultRowHeight="15" x14ac:dyDescent="0.25"/>
  <cols>
    <col min="33" max="33" width="10.28515625" customWidth="1"/>
  </cols>
  <sheetData>
    <row r="2" spans="2:24" ht="18" x14ac:dyDescent="0.35">
      <c r="E2" s="4" t="s">
        <v>20</v>
      </c>
      <c r="F2" s="4" t="s">
        <v>21</v>
      </c>
      <c r="I2" s="14" t="s">
        <v>40</v>
      </c>
      <c r="J2" s="2">
        <v>1</v>
      </c>
      <c r="K2" t="s">
        <v>34</v>
      </c>
      <c r="M2" s="23" t="s">
        <v>10</v>
      </c>
      <c r="N2" s="23"/>
      <c r="O2" s="23"/>
      <c r="P2" s="2">
        <f>MAX(T33:T133)</f>
        <v>1019.65625</v>
      </c>
      <c r="Q2" t="s">
        <v>33</v>
      </c>
    </row>
    <row r="3" spans="2:24" ht="18" x14ac:dyDescent="0.35">
      <c r="D3" s="13" t="s">
        <v>26</v>
      </c>
      <c r="E3" s="2">
        <f ca="1">RANDBETWEEN(200, 1500)</f>
        <v>475</v>
      </c>
      <c r="F3" s="2" cm="1">
        <f t="array" aca="1" ref="F3" ca="1">thm_rate(-E11,thm_rate(E11,qi,Di,bi,bf,telf),thm_D_eff(E11,1,Di,bi,bf,telf),F5,F6,F7)</f>
        <v>252.00723809142784</v>
      </c>
      <c r="G3" t="s">
        <v>34</v>
      </c>
      <c r="I3" s="14" t="s">
        <v>41</v>
      </c>
      <c r="J3" s="2" cm="1">
        <f t="array" aca="1" ref="J3" ca="1">thm_cum_qf(J2,qi,Di,bi,bf,telf,bterm,tterm)</f>
        <v>513.52890861553044</v>
      </c>
      <c r="K3" t="s">
        <v>38</v>
      </c>
      <c r="M3" s="23" t="s">
        <v>11</v>
      </c>
      <c r="N3" s="23"/>
      <c r="O3" s="23"/>
      <c r="P3" s="2">
        <f ca="1">SUM(Z33:Z66)</f>
        <v>163.6058154763023</v>
      </c>
      <c r="Q3" t="s">
        <v>38</v>
      </c>
    </row>
    <row r="4" spans="2:24" ht="18" x14ac:dyDescent="0.35">
      <c r="D4" s="13" t="s">
        <v>27</v>
      </c>
      <c r="E4" s="1">
        <f ca="1">RANDBETWEEN(60, 95) / 100</f>
        <v>0.62</v>
      </c>
      <c r="F4" s="3" cm="1">
        <f t="array" aca="1" ref="F4" ca="1">thm_D_eff(-E11,1,thm_D_eff(E11,1,Di,bi,bf,telf),F5,F6,F7)</f>
        <v>0.31340758487087383</v>
      </c>
      <c r="G4" t="s">
        <v>35</v>
      </c>
      <c r="I4" s="14" t="s">
        <v>42</v>
      </c>
      <c r="J4" s="2" cm="1">
        <f t="array" aca="1" ref="J4" ca="1">thm_eur_qf(J2,P2,P3,qi,Di,bi,bf,telf,bterm,tterm)</f>
        <v>492.24862103651026</v>
      </c>
      <c r="K4" t="s">
        <v>38</v>
      </c>
      <c r="M4" s="23" t="s">
        <v>22</v>
      </c>
      <c r="N4" s="23"/>
      <c r="O4" s="23"/>
      <c r="P4" s="2" cm="1">
        <f t="array" aca="1" ref="P4" ca="1">$P$3/thm_cum($P$2,qi,Di,bi,bf,telf,bterm,tterm)</f>
        <v>0.8849005564650112</v>
      </c>
      <c r="Q4" s="5" t="s">
        <v>36</v>
      </c>
      <c r="X4" s="5"/>
    </row>
    <row r="5" spans="2:24" ht="18" x14ac:dyDescent="0.35">
      <c r="D5" s="13" t="s">
        <v>28</v>
      </c>
      <c r="E5" s="2">
        <v>2</v>
      </c>
      <c r="F5" s="2">
        <f ca="1">F6</f>
        <v>0.79</v>
      </c>
      <c r="G5" s="5" t="s">
        <v>36</v>
      </c>
      <c r="M5" s="24" t="s">
        <v>53</v>
      </c>
      <c r="N5" s="24"/>
      <c r="O5" s="24"/>
      <c r="P5" s="1">
        <f ca="1">RANDBETWEEN(1, 15)/100</f>
        <v>0.11</v>
      </c>
      <c r="Q5" t="s">
        <v>35</v>
      </c>
    </row>
    <row r="6" spans="2:24" ht="18" x14ac:dyDescent="0.35">
      <c r="D6" s="13" t="s">
        <v>29</v>
      </c>
      <c r="E6" s="2">
        <f ca="1">RANDBETWEEN(50, 140) / 100</f>
        <v>0.79</v>
      </c>
      <c r="F6" s="2">
        <f ca="1">bf</f>
        <v>0.79</v>
      </c>
      <c r="G6" s="5" t="s">
        <v>36</v>
      </c>
      <c r="I6" s="14" t="s">
        <v>43</v>
      </c>
      <c r="J6" s="2">
        <f>30*DaysPerYear</f>
        <v>10957.5</v>
      </c>
      <c r="K6" t="s">
        <v>33</v>
      </c>
      <c r="M6" s="24" t="s">
        <v>54</v>
      </c>
      <c r="N6" s="24"/>
      <c r="O6" s="24"/>
      <c r="P6" s="1">
        <f ca="1">RANDBETWEEN(5, 15)/100</f>
        <v>0.13</v>
      </c>
      <c r="Q6" t="s">
        <v>35</v>
      </c>
    </row>
    <row r="7" spans="2:24" ht="18" x14ac:dyDescent="0.35">
      <c r="D7" s="13" t="s">
        <v>30</v>
      </c>
      <c r="E7" s="2">
        <f ca="1">RANDBETWEEN(1, 400)</f>
        <v>197</v>
      </c>
      <c r="F7" s="2">
        <v>1</v>
      </c>
      <c r="G7" t="s">
        <v>33</v>
      </c>
      <c r="I7" s="14" t="s">
        <v>44</v>
      </c>
      <c r="J7" s="2" cm="1">
        <f t="array" aca="1" ref="J7" ca="1">thm_cum(J6,qi,Di,bi,bf,telf,bterm,tterm)</f>
        <v>483.89964063591248</v>
      </c>
      <c r="K7" t="s">
        <v>38</v>
      </c>
      <c r="M7" s="23" t="s">
        <v>47</v>
      </c>
      <c r="N7" s="23"/>
      <c r="O7" s="23"/>
      <c r="P7" s="1">
        <v>0.5</v>
      </c>
      <c r="Q7" t="s">
        <v>35</v>
      </c>
      <c r="X7" s="5"/>
    </row>
    <row r="8" spans="2:24" ht="18" x14ac:dyDescent="0.35">
      <c r="D8" s="13" t="s">
        <v>31</v>
      </c>
      <c r="E8" s="2">
        <f ca="1">IF(tterm=0,RANDBETWEEN(30,100)/1000,MIN(RANDBETWEEN(0,0.5)/100,bf))</f>
        <v>0</v>
      </c>
      <c r="F8" s="2">
        <f ca="1">bterm</f>
        <v>0</v>
      </c>
      <c r="G8" s="5" t="s">
        <v>36</v>
      </c>
      <c r="I8" s="14" t="s">
        <v>45</v>
      </c>
      <c r="J8" s="2" cm="1">
        <f t="array" aca="1" ref="J8" ca="1">thm_eur_t(J6,P2,P3,qi,Di,bi,bf,telf,bterm,tterm)</f>
        <v>462.61935305689224</v>
      </c>
      <c r="K8" t="s">
        <v>38</v>
      </c>
      <c r="M8" s="23" t="s">
        <v>48</v>
      </c>
      <c r="N8" s="23"/>
      <c r="O8" s="23"/>
      <c r="P8" s="2">
        <v>10</v>
      </c>
      <c r="Q8" s="5" t="s">
        <v>36</v>
      </c>
      <c r="X8" s="5"/>
    </row>
    <row r="9" spans="2:24" ht="18" x14ac:dyDescent="0.35">
      <c r="D9" s="13" t="s">
        <v>32</v>
      </c>
      <c r="E9" s="2">
        <f ca="1">IF(RAND()&lt;0.5, 0, MIN(RANDBETWEEN(500, 2000)/100))</f>
        <v>12.94</v>
      </c>
      <c r="F9" s="2">
        <f ca="1">tterm</f>
        <v>12.94</v>
      </c>
      <c r="G9" t="s">
        <v>37</v>
      </c>
      <c r="M9" s="23" t="s">
        <v>16</v>
      </c>
      <c r="N9" s="23"/>
      <c r="O9" s="23"/>
      <c r="P9" s="1">
        <f ca="1">RANDBETWEEN(0, 10)/100</f>
        <v>0.05</v>
      </c>
      <c r="Q9" t="s">
        <v>35</v>
      </c>
    </row>
    <row r="10" spans="2:24" x14ac:dyDescent="0.25">
      <c r="D10" s="13"/>
      <c r="E10" s="2"/>
      <c r="F10" s="2"/>
      <c r="M10" s="23" t="s">
        <v>49</v>
      </c>
      <c r="N10" s="23"/>
      <c r="O10" s="23"/>
      <c r="P10" s="2">
        <f ca="1">RANDBETWEEN(50, 95)/100</f>
        <v>0.64</v>
      </c>
      <c r="Q10" s="5" t="s">
        <v>36</v>
      </c>
    </row>
    <row r="11" spans="2:24" x14ac:dyDescent="0.25">
      <c r="C11" s="22" t="s">
        <v>19</v>
      </c>
      <c r="D11" s="22"/>
      <c r="E11">
        <f ca="1">4*telf</f>
        <v>788</v>
      </c>
      <c r="F11" s="2"/>
      <c r="G11" t="s">
        <v>33</v>
      </c>
      <c r="M11" s="23" t="s">
        <v>15</v>
      </c>
      <c r="N11" s="23"/>
      <c r="O11" s="23"/>
      <c r="P11" s="2">
        <f ca="1">RANDBETWEEN(50, 95)/100</f>
        <v>0.79</v>
      </c>
      <c r="Q11" s="5" t="s">
        <v>36</v>
      </c>
    </row>
    <row r="12" spans="2:24" x14ac:dyDescent="0.25">
      <c r="B12" s="1"/>
      <c r="C12" s="1"/>
      <c r="D12" s="1"/>
      <c r="E12" s="1"/>
      <c r="F12" s="2"/>
    </row>
    <row r="13" spans="2:24" x14ac:dyDescent="0.25">
      <c r="E13" s="1"/>
      <c r="F13" s="2"/>
    </row>
    <row r="14" spans="2:24" x14ac:dyDescent="0.25">
      <c r="E14" s="2"/>
      <c r="F14" s="2"/>
    </row>
    <row r="15" spans="2:24" x14ac:dyDescent="0.25">
      <c r="E15" s="2"/>
      <c r="F15" s="2"/>
    </row>
    <row r="16" spans="2:24" x14ac:dyDescent="0.25">
      <c r="E16" s="2"/>
      <c r="F16" s="2"/>
    </row>
    <row r="17" spans="2:32" x14ac:dyDescent="0.25">
      <c r="E17" s="2"/>
      <c r="F17" s="2"/>
    </row>
    <row r="18" spans="2:32" x14ac:dyDescent="0.25">
      <c r="E18" s="2"/>
      <c r="F18" s="2"/>
    </row>
    <row r="19" spans="2:32" x14ac:dyDescent="0.25">
      <c r="E19" s="2"/>
      <c r="F19" s="2"/>
    </row>
    <row r="20" spans="2:32" x14ac:dyDescent="0.25">
      <c r="E20" s="2"/>
      <c r="F20" s="2"/>
    </row>
    <row r="21" spans="2:32" x14ac:dyDescent="0.25">
      <c r="E21" s="2"/>
      <c r="F21" s="2"/>
    </row>
    <row r="22" spans="2:32" x14ac:dyDescent="0.25">
      <c r="E22" s="2"/>
      <c r="F22" s="2"/>
    </row>
    <row r="23" spans="2:32" x14ac:dyDescent="0.25">
      <c r="E23" s="2"/>
      <c r="F23" s="2"/>
    </row>
    <row r="24" spans="2:32" x14ac:dyDescent="0.25">
      <c r="E24" s="2"/>
      <c r="F24" s="2"/>
    </row>
    <row r="25" spans="2:32" x14ac:dyDescent="0.25">
      <c r="E25" s="2"/>
      <c r="F25" s="2"/>
    </row>
    <row r="26" spans="2:32" x14ac:dyDescent="0.25">
      <c r="E26" s="2"/>
      <c r="F26" s="2"/>
    </row>
    <row r="27" spans="2:32" x14ac:dyDescent="0.25">
      <c r="E27" s="2"/>
      <c r="F27" s="2"/>
    </row>
    <row r="28" spans="2:32" x14ac:dyDescent="0.25">
      <c r="E28" s="2"/>
      <c r="F28" s="2"/>
    </row>
    <row r="32" spans="2:32" s="12" customFormat="1" ht="31.5" x14ac:dyDescent="0.35">
      <c r="B32" s="15" t="s">
        <v>5</v>
      </c>
      <c r="C32" s="15" t="s">
        <v>0</v>
      </c>
      <c r="D32" s="15" t="s">
        <v>1</v>
      </c>
      <c r="E32" s="15" t="s">
        <v>2</v>
      </c>
      <c r="F32" s="15" t="s">
        <v>3</v>
      </c>
      <c r="G32" s="15" t="s">
        <v>4</v>
      </c>
      <c r="H32" s="15" t="s">
        <v>51</v>
      </c>
      <c r="J32" s="15" t="s">
        <v>1</v>
      </c>
      <c r="K32" s="15" t="s">
        <v>2</v>
      </c>
      <c r="L32" s="15" t="s">
        <v>6</v>
      </c>
      <c r="M32" s="15" t="s">
        <v>3</v>
      </c>
      <c r="N32" s="15" t="s">
        <v>23</v>
      </c>
      <c r="O32" s="15" t="s">
        <v>4</v>
      </c>
      <c r="Q32" s="15" t="s">
        <v>46</v>
      </c>
      <c r="R32" s="15" t="s">
        <v>52</v>
      </c>
      <c r="T32" s="15" t="s">
        <v>12</v>
      </c>
      <c r="U32" s="15" t="s">
        <v>14</v>
      </c>
      <c r="V32" s="15" t="s">
        <v>39</v>
      </c>
      <c r="W32" s="15" t="s">
        <v>50</v>
      </c>
      <c r="X32" s="15" t="s">
        <v>13</v>
      </c>
      <c r="Y32" s="15" t="s">
        <v>18</v>
      </c>
      <c r="Z32" s="15" t="s">
        <v>17</v>
      </c>
      <c r="AA32" s="15" t="s">
        <v>11</v>
      </c>
      <c r="AB32" s="15" t="s">
        <v>9</v>
      </c>
      <c r="AC32" s="15" t="s">
        <v>24</v>
      </c>
      <c r="AD32" s="15" t="s">
        <v>25</v>
      </c>
      <c r="AE32" s="15" t="s">
        <v>7</v>
      </c>
      <c r="AF32" s="15" t="s">
        <v>8</v>
      </c>
    </row>
    <row r="33" spans="2:32" x14ac:dyDescent="0.25">
      <c r="B33" s="16" cm="1">
        <f t="array" ref="B33">log_interval</f>
        <v>5.7564627324851146E-2</v>
      </c>
      <c r="C33" s="18">
        <f>EXP(B33)</f>
        <v>1.0592537251772889</v>
      </c>
      <c r="D33" s="16" cm="1">
        <f t="array" aca="1" ref="D33:G232" ca="1">thm_array(ModelTime,qi,Di,bi,bf,telf,bterm,tterm)</f>
        <v>470.97075634723541</v>
      </c>
      <c r="E33" s="17">
        <f ca="1"/>
        <v>7.9741431251805269E-3</v>
      </c>
      <c r="F33" s="17">
        <f ca="1"/>
        <v>2</v>
      </c>
      <c r="G33" s="18">
        <f ca="1"/>
        <v>0.50100243429818403</v>
      </c>
      <c r="H33" s="19">
        <f t="shared" ref="H33:H64" ca="1" si="0">$P$4*G33</f>
        <v>0.44333733290078825</v>
      </c>
      <c r="I33" s="2"/>
      <c r="J33" s="2" cm="1">
        <f t="array" aca="1" ref="J33" ca="1">thm_rate($C33,qi,Di,bi,bf,telf,bterm,tterm)</f>
        <v>470.97075634723541</v>
      </c>
      <c r="K33" s="2" cm="1">
        <f t="array" aca="1" ref="K33" ca="1">thm_D($C33,qi,Di,bi,bf,telf,bterm,tterm)</f>
        <v>7.9741431251805269E-3</v>
      </c>
      <c r="L33" s="3" cm="1">
        <f t="array" aca="1" ref="L33" ca="1">thm_D_eff($C33,qi,Di,bi,bf,telf,bterm,tterm)</f>
        <v>0.61722362700452127</v>
      </c>
      <c r="M33" s="2" cm="1">
        <f t="array" aca="1" ref="M33" ca="1">thm_b(C33,qi,Di,bi,bf,telf,bterm,tterm)</f>
        <v>2</v>
      </c>
      <c r="N33" s="2" cm="1">
        <f t="array" aca="1" ref="N33" ca="1">thm_monthly_vol($C33,qi,Di,bi,bf,telf,bterm,tterm)</f>
        <v>14.396231263098636</v>
      </c>
      <c r="O33" s="2" cm="1">
        <f t="array" aca="1" ref="O33" ca="1">thm_cum($C33,qi,Di,bi,bf,telf,bterm,tterm)</f>
        <v>0.50100243429818403</v>
      </c>
      <c r="Q33" cm="1">
        <f t="array" aca="1" ref="Q33" ca="1">thm_rate(C33,$F$3,$F$4,$F$5,$F$6,$F$7,$F$8,$F$9)</f>
        <v>251.68761841416713</v>
      </c>
      <c r="R33" s="2" cm="1">
        <f t="array" aca="1" ref="R33" ca="1">thm_cum($C33,$F$3,$F$4,$F$5,$F$6,$F$7,$F$8,$F$9)*$P$3/thm_cum($P$2,$F$3,$F$4,$F$5,$F$6,$F$7,$F$8,$F$9)</f>
        <v>0.26513933339396106</v>
      </c>
      <c r="T33" s="2" cm="1">
        <f t="array" ref="T33">DaysPerMonth/2</f>
        <v>15.21875</v>
      </c>
      <c r="U33" s="2">
        <f ca="1">RAND()</f>
        <v>0.30253533497947638</v>
      </c>
      <c r="V33" s="2" t="b">
        <f t="shared" ref="V33:V66" ca="1" si="1">U33&lt;$P$9</f>
        <v>0</v>
      </c>
      <c r="W33" s="2">
        <f ca="1">RAND()</f>
        <v>0.40384687601495672</v>
      </c>
      <c r="X33" s="2">
        <f ca="1">MAX(0,IF(V33,_xlfn.LOGNORM.INV(RAND(),LN($P$7)-LN($P$8)/(2*_xlfn.NORM.S.INV(0.9)),LN($P$8)/(2*_xlfn.NORM.S.INV(0.9))), 1+_xlfn.NORM.S.INV(W33)*($P$5+_xlfn.NORM.INV(RAND(), 0, $P$6))))</f>
        <v>1.0038835674351809</v>
      </c>
      <c r="Y33" s="2">
        <f ca="1">(RANDBETWEEN(0.2*1000,0.5*1000)/1000)</f>
        <v>0.376</v>
      </c>
      <c r="Z33" s="2" cm="1">
        <f t="array" aca="1" ref="Z33" ca="1">thm_monthly_vol(T33,qi,Di,bi,bf,telf,bterm,tterm)*X33*Y33</f>
        <v>5.1565221578896452</v>
      </c>
      <c r="AA33" s="2">
        <f ca="1">Z33</f>
        <v>5.1565221578896452</v>
      </c>
      <c r="AB33" s="2" cm="1">
        <f t="array" aca="1" ref="AB33" ca="1">MAX(1, Z33*1000 / DaysPerMonth * X33)</f>
        <v>170.07138757850726</v>
      </c>
      <c r="AC33" s="2" cm="1">
        <f t="array" aca="1" ref="AC33" ca="1">thm_cum($J$6,qi,Di,bi,bf,telf,bterm,tterm)</f>
        <v>483.89964063591248</v>
      </c>
      <c r="AD33" cm="1">
        <f t="array" aca="1" ref="AD33" ca="1">thm_cum_qf($J$2,qi,Di,bi,bf,telf,bterm,tterm)</f>
        <v>513.52890861553044</v>
      </c>
      <c r="AE33" s="2" cm="1">
        <f t="array" aca="1" ref="AE33" ca="1">thm_eur_t($J$6,T33+DaysPerMonth/2,AA33,qi,Di,bi,bf,telf,bterm,tterm)</f>
        <v>476.04398818234625</v>
      </c>
      <c r="AF33" cm="1">
        <f t="array" aca="1" ref="AF33" ca="1">thm_eur_qf($J$2,T33+DaysPerMonth/2,AA33,qi,Di,bi,bf,telf,bterm,tterm)</f>
        <v>505.67325616196422</v>
      </c>
    </row>
    <row r="34" spans="2:32" x14ac:dyDescent="0.25">
      <c r="B34" s="6" cm="1">
        <f t="array" ref="B34">B33+log_interval</f>
        <v>0.11512925464970229</v>
      </c>
      <c r="C34" s="8">
        <f t="shared" ref="C34:C97" si="2">EXP(B34)</f>
        <v>1.1220184543019633</v>
      </c>
      <c r="D34" s="6">
        <f ca="1"/>
        <v>470.73521468634181</v>
      </c>
      <c r="E34" s="7">
        <f ca="1"/>
        <v>7.966169070665911E-3</v>
      </c>
      <c r="F34" s="7">
        <f ca="1"/>
        <v>2</v>
      </c>
      <c r="G34" s="8">
        <f ca="1"/>
        <v>0.53055539254281248</v>
      </c>
      <c r="H34" s="20">
        <f t="shared" ca="1" si="0"/>
        <v>0.46948876209664719</v>
      </c>
      <c r="I34" s="2"/>
      <c r="J34" s="2" cm="1">
        <f t="array" aca="1" ref="J34" ca="1">thm_rate($C34,qi,Di,bi,bf,telf,bterm,tterm)</f>
        <v>470.73521468634181</v>
      </c>
      <c r="K34" s="2" cm="1">
        <f t="array" aca="1" ref="K34" ca="1">thm_D($C34,qi,Di,bi,bf,telf,bterm,tterm)</f>
        <v>7.966169070665911E-3</v>
      </c>
      <c r="L34" s="3" cm="1">
        <f t="array" aca="1" ref="L34" ca="1">thm_D_eff(C34,qi,Di,bi,bf,telf,bterm,tterm)</f>
        <v>0.61706017776791144</v>
      </c>
      <c r="M34" s="2" cm="1">
        <f t="array" aca="1" ref="M34" ca="1">thm_b(C34,qi,Di,bi,bf,telf,bterm,tterm)</f>
        <v>2</v>
      </c>
      <c r="N34" s="2" cm="1">
        <f t="array" aca="1" ref="N34" ca="1">thm_monthly_vol(C34,qi,Di,bi,bf,telf,bterm,tterm)</f>
        <v>14.392615111280348</v>
      </c>
      <c r="O34" s="2" cm="1">
        <f t="array" aca="1" ref="O34" ca="1">thm_cum($C34,qi,Di,bi,bf,telf,bterm,tterm)</f>
        <v>0.53055539254281248</v>
      </c>
      <c r="Q34" cm="1">
        <f t="array" aca="1" ref="Q34" ca="1">thm_rate(C34,$F$3,$F$4,$F$5,$F$6,$F$7,$F$8,$F$9)</f>
        <v>251.66870252975542</v>
      </c>
      <c r="R34" s="2" cm="1">
        <f t="array" aca="1" ref="R34" ca="1">thm_cum($C34,$F$3,$F$4,$F$5,$F$6,$F$7,$F$8,$F$9)*$P$3/thm_cum($P$2,$F$3,$F$4,$F$5,$F$6,$F$7,$F$8,$F$9)</f>
        <v>0.28083927125457747</v>
      </c>
      <c r="T34" s="2" cm="1">
        <f t="array" ref="T34">DaysPerMonth+T33</f>
        <v>45.65625</v>
      </c>
      <c r="U34" s="2">
        <f ca="1">IF(V33, _xlfn.NORM.S.DIST((_xlfn.NORM.S.INV(U33)*$P$11+SQRT(1-$P$11^2)*_xlfn.NORM.S.INV(RAND())), TRUE), RAND())</f>
        <v>0.10864563900667112</v>
      </c>
      <c r="V34" s="2" t="b">
        <f t="shared" ca="1" si="1"/>
        <v>0</v>
      </c>
      <c r="W34" s="2">
        <f ca="1">_xlfn.NORM.S.DIST((_xlfn.NORM.S.INV(W33)*$P$10+SQRT(1-$P$10^2)*_xlfn.NORM.S.INV(RAND())), TRUE)</f>
        <v>0.95153164064986484</v>
      </c>
      <c r="X34" s="2">
        <f t="shared" ref="X34:X66" ca="1" si="3">MAX(0,IF(V34,_xlfn.LOGNORM.INV(RAND(),LN($P$7)-LN($P$8)/(2*_xlfn.NORM.S.INV(0.9)),LN($P$8)/(2*_xlfn.NORM.S.INV(0.9))), 1+_xlfn.NORM.S.INV(W34)*($P$5+_xlfn.NORM.INV(RAND(), 0, $P$6))))</f>
        <v>1.3875635696671318</v>
      </c>
      <c r="Y34" s="2">
        <f ca="1">(RANDBETWEEN(0.4*1000,0.8*1000)/1000)</f>
        <v>0.78700000000000003</v>
      </c>
      <c r="Z34" s="2" cm="1">
        <f t="array" aca="1" ref="Z34" ca="1">thm_monthly_vol(T34,qi,Di,bi,bf,telf,bterm,tterm)*X34*Y34</f>
        <v>12.96244906050587</v>
      </c>
      <c r="AA34" s="2">
        <f ca="1">Z34+AA33</f>
        <v>18.118971218395515</v>
      </c>
      <c r="AB34" s="2" cm="1">
        <f t="array" aca="1" ref="AB34" ca="1">MAX(1, Z34*1000 / DaysPerMonth * X34)</f>
        <v>590.92310768045616</v>
      </c>
      <c r="AC34" s="2" cm="1">
        <f t="array" aca="1" ref="AC34" ca="1">thm_cum($J$6,qi,Di,bi,bf,telf,bterm,tterm)</f>
        <v>483.89964063591248</v>
      </c>
      <c r="AD34" cm="1">
        <f t="array" aca="1" ref="AD34" ca="1">thm_cum_qf($J$2,qi,Di,bi,bf,telf,bterm,tterm)</f>
        <v>513.52890861553044</v>
      </c>
      <c r="AE34" s="2" cm="1">
        <f t="array" aca="1" ref="AE34" ca="1">thm_eur_t($J$6,T34+DaysPerMonth/2,AA34,qi,Di,bi,bf,telf,bterm,tterm)</f>
        <v>478.02024600046025</v>
      </c>
      <c r="AF34" cm="1">
        <f t="array" aca="1" ref="AF34" ca="1">thm_eur_qf($J$2,T34+DaysPerMonth/2,AA34,qi,Di,bi,bf,telf,bterm,tterm)</f>
        <v>507.64951398007821</v>
      </c>
    </row>
    <row r="35" spans="2:32" x14ac:dyDescent="0.25">
      <c r="B35" s="6" cm="1">
        <f t="array" ref="B35">B34+log_interval</f>
        <v>0.17269388197455343</v>
      </c>
      <c r="C35" s="8">
        <f t="shared" si="2"/>
        <v>1.1885022274370185</v>
      </c>
      <c r="D35" s="6">
        <f ca="1"/>
        <v>470.4861013279446</v>
      </c>
      <c r="E35" s="7">
        <f ca="1"/>
        <v>7.9577398987022117E-3</v>
      </c>
      <c r="F35" s="7">
        <f ca="1"/>
        <v>2</v>
      </c>
      <c r="G35" s="8">
        <f ca="1"/>
        <v>0.56184336257296341</v>
      </c>
      <c r="H35" s="20">
        <f t="shared" ca="1" si="0"/>
        <v>0.49717550418698836</v>
      </c>
      <c r="I35" s="2"/>
      <c r="J35" s="2" cm="1">
        <f t="array" aca="1" ref="J35" ca="1">thm_rate($C35,qi,Di,bi,bf,telf,bterm,tterm)</f>
        <v>470.4861013279446</v>
      </c>
      <c r="K35" s="2" cm="1">
        <f t="array" aca="1" ref="K35" ca="1">thm_D($C35,qi,Di,bi,bf,telf,bterm,tterm)</f>
        <v>7.9577398987022117E-3</v>
      </c>
      <c r="L35" s="3" cm="1">
        <f t="array" aca="1" ref="L35" ca="1">thm_D_eff(C35,qi,Di,bi,bf,telf,bterm,tterm)</f>
        <v>0.61688717184733011</v>
      </c>
      <c r="M35" s="2" cm="1">
        <f t="array" aca="1" ref="M35" ca="1">thm_b(C35,qi,Di,bi,bf,telf,bterm,tterm)</f>
        <v>2</v>
      </c>
      <c r="N35" s="2" cm="1">
        <f t="array" aca="1" ref="N35" ca="1">thm_monthly_vol(C35,qi,Di,bi,bf,telf,bterm,tterm)</f>
        <v>14.388788639624826</v>
      </c>
      <c r="O35" s="2" cm="1">
        <f t="array" aca="1" ref="O35" ca="1">thm_cum($C35,qi,Di,bi,bf,telf,bterm,tterm)</f>
        <v>0.56184336257296341</v>
      </c>
      <c r="Q35" cm="1">
        <f t="array" aca="1" ref="Q35" ca="1">thm_rate(C35,$F$3,$F$4,$F$5,$F$6,$F$7,$F$8,$F$9)</f>
        <v>251.64866858394402</v>
      </c>
      <c r="R35" s="2" cm="1">
        <f t="array" aca="1" ref="R35" ca="1">thm_cum($C35,$F$3,$F$4,$F$5,$F$6,$F$7,$F$8,$F$9)*$P$3/thm_cum($P$2,$F$3,$F$4,$F$5,$F$6,$F$7,$F$8,$F$9)</f>
        <v>0.29746820206670355</v>
      </c>
      <c r="T35" s="2" cm="1">
        <f t="array" ref="T35">DaysPerMonth+T34</f>
        <v>76.09375</v>
      </c>
      <c r="U35" s="2">
        <f t="shared" ref="U35:U66" ca="1" si="4">IF(V34, _xlfn.NORM.S.DIST((_xlfn.NORM.S.INV(U34)*$P$11+SQRT(1-$P$11^2)*_xlfn.NORM.S.INV(RAND())), TRUE), RAND())</f>
        <v>0.6331457926916052</v>
      </c>
      <c r="V35" s="2" t="b">
        <f t="shared" ca="1" si="1"/>
        <v>0</v>
      </c>
      <c r="W35" s="2">
        <f t="shared" ref="W35:W66" ca="1" si="5">_xlfn.NORM.S.DIST((_xlfn.NORM.S.INV(W34)*$P$10+SQRT(1-$P$10^2)*_xlfn.NORM.S.INV(RAND())), TRUE)</f>
        <v>0.68400678452875141</v>
      </c>
      <c r="X35" s="2">
        <f t="shared" ca="1" si="3"/>
        <v>1.1118393080420259</v>
      </c>
      <c r="Y35" s="2">
        <f ca="1">(RANDBETWEEN(0.6*1000,1*1000)/1000)</f>
        <v>0.90200000000000002</v>
      </c>
      <c r="Z35" s="2" cm="1">
        <f t="array" aca="1" ref="Z35" ca="1">thm_monthly_vol(T35,qi,Di,bi,bf,telf,bterm,tterm)*X35*Y35</f>
        <v>10.304722750106373</v>
      </c>
      <c r="AA35" s="2">
        <f t="shared" ref="AA35:AA66" ca="1" si="6">Z35+AA34</f>
        <v>28.423693968501887</v>
      </c>
      <c r="AB35" s="2" cm="1">
        <f t="array" aca="1" ref="AB35" ca="1">MAX(1, Z35*1000 / DaysPerMonth * X35)</f>
        <v>376.41711086794885</v>
      </c>
      <c r="AC35" s="2" cm="1">
        <f t="array" aca="1" ref="AC35" ca="1">thm_cum($J$6,qi,Di,bi,bf,telf,bterm,tterm)</f>
        <v>483.89964063591248</v>
      </c>
      <c r="AD35" cm="1">
        <f t="array" aca="1" ref="AD35" ca="1">thm_cum_qf($J$2,qi,Di,bi,bf,telf,bterm,tterm)</f>
        <v>513.52890861553044</v>
      </c>
      <c r="AE35" s="2" cm="1">
        <f t="array" aca="1" ref="AE35" ca="1">thm_eur_t($J$6,T35+DaysPerMonth/2,AA35,qi,Di,bi,bf,telf,bterm,tterm)</f>
        <v>478.6380388838902</v>
      </c>
      <c r="AF35" cm="1">
        <f t="array" aca="1" ref="AF35" ca="1">thm_eur_qf($J$2,T35+DaysPerMonth/2,AA35,qi,Di,bi,bf,telf,bterm,tterm)</f>
        <v>508.26730686350811</v>
      </c>
    </row>
    <row r="36" spans="2:32" x14ac:dyDescent="0.25">
      <c r="B36" s="6" cm="1">
        <f t="array" ref="B36">B35+log_interval</f>
        <v>0.23025850929940458</v>
      </c>
      <c r="C36" s="8">
        <f t="shared" si="2"/>
        <v>1.2589254117941673</v>
      </c>
      <c r="D36" s="6">
        <f ca="1"/>
        <v>470.2226579352926</v>
      </c>
      <c r="E36" s="7">
        <f ca="1"/>
        <v>7.9488307000706738E-3</v>
      </c>
      <c r="F36" s="7">
        <f ca="1"/>
        <v>2</v>
      </c>
      <c r="G36" s="8">
        <f ca="1"/>
        <v>0.59496721316516132</v>
      </c>
      <c r="H36" s="20">
        <f t="shared" ca="1" si="0"/>
        <v>0.52648681800828823</v>
      </c>
      <c r="I36" s="2"/>
      <c r="J36" s="2" cm="1">
        <f t="array" aca="1" ref="J36" ca="1">thm_rate($C36,qi,Di,bi,bf,telf,bterm,tterm)</f>
        <v>470.2226579352926</v>
      </c>
      <c r="K36" s="2" cm="1">
        <f t="array" aca="1" ref="K36" ca="1">thm_D($C36,qi,Di,bi,bf,telf,bterm,tterm)</f>
        <v>7.9488307000706738E-3</v>
      </c>
      <c r="L36" s="3" cm="1">
        <f t="array" aca="1" ref="L36" ca="1">thm_D_eff(C36,qi,Di,bi,bf,telf,bterm,tterm)</f>
        <v>0.61670405840521547</v>
      </c>
      <c r="M36" s="2" cm="1">
        <f t="array" aca="1" ref="M36" ca="1">thm_b(C36,qi,Di,bi,bf,telf,bterm,tterm)</f>
        <v>2</v>
      </c>
      <c r="N36" s="2" cm="1">
        <f t="array" aca="1" ref="N36" ca="1">thm_monthly_vol(C36,qi,Di,bi,bf,telf,bterm,tterm)</f>
        <v>14.384739859135871</v>
      </c>
      <c r="O36" s="2" cm="1">
        <f t="array" aca="1" ref="O36" ca="1">thm_cum($C36,qi,Di,bi,bf,telf,bterm,tterm)</f>
        <v>0.59496721316516132</v>
      </c>
      <c r="Q36" cm="1">
        <f t="array" aca="1" ref="Q36" ca="1">thm_rate(C36,$F$3,$F$4,$F$5,$F$6,$F$7,$F$8,$F$9)</f>
        <v>251.6274506654174</v>
      </c>
      <c r="R36" s="2" cm="1">
        <f t="array" aca="1" ref="R36" ca="1">thm_cum($C36,$F$3,$F$4,$F$5,$F$6,$F$7,$F$8,$F$9)*$P$3/thm_cum($P$2,$F$3,$F$4,$F$5,$F$6,$F$7,$F$8,$F$9)</f>
        <v>0.31508101530966598</v>
      </c>
      <c r="T36" s="2" cm="1">
        <f t="array" ref="T36">DaysPerMonth+T35</f>
        <v>106.53125</v>
      </c>
      <c r="U36" s="2">
        <f t="shared" ca="1" si="4"/>
        <v>0.53918046856380164</v>
      </c>
      <c r="V36" s="2" t="b">
        <f t="shared" ca="1" si="1"/>
        <v>0</v>
      </c>
      <c r="W36" s="2">
        <f t="shared" ca="1" si="5"/>
        <v>0.30529063609424523</v>
      </c>
      <c r="X36" s="2">
        <f t="shared" ca="1" si="3"/>
        <v>0.85706912717733785</v>
      </c>
      <c r="Y36" s="2">
        <v>1</v>
      </c>
      <c r="Z36" s="2" cm="1">
        <f t="array" aca="1" ref="Z36" ca="1">thm_monthly_vol(T36,qi,Di,bi,bf,telf,bterm,tterm)*X36*Y36</f>
        <v>7.8762241230862875</v>
      </c>
      <c r="AA36" s="2">
        <f t="shared" ca="1" si="6"/>
        <v>36.299918091588175</v>
      </c>
      <c r="AB36" s="2" cm="1">
        <f t="array" aca="1" ref="AB36" ca="1">MAX(1, Z36*1000 / DaysPerMonth * X36)</f>
        <v>221.78130709245693</v>
      </c>
      <c r="AC36" s="2" cm="1">
        <f t="array" aca="1" ref="AC36" ca="1">thm_cum($J$6,qi,Di,bi,bf,telf,bterm,tterm)</f>
        <v>483.89964063591248</v>
      </c>
      <c r="AD36" cm="1">
        <f t="array" aca="1" ref="AD36" ca="1">thm_cum_qf($J$2,qi,Di,bi,bf,telf,bterm,tterm)</f>
        <v>513.52890861553044</v>
      </c>
      <c r="AE36" s="2" cm="1">
        <f t="array" aca="1" ref="AE36" ca="1">thm_eur_t($J$6,T36+DaysPerMonth/2,AA36,qi,Di,bi,bf,telf,bterm,tterm)</f>
        <v>477.75209523155974</v>
      </c>
      <c r="AF36" cm="1">
        <f t="array" aca="1" ref="AF36" ca="1">thm_eur_qf($J$2,T36+DaysPerMonth/2,AA36,qi,Di,bi,bf,telf,bterm,tterm)</f>
        <v>507.3813632111777</v>
      </c>
    </row>
    <row r="37" spans="2:32" x14ac:dyDescent="0.25">
      <c r="B37" s="6" cm="1">
        <f t="array" ref="B37">B36+log_interval</f>
        <v>0.28782313662425574</v>
      </c>
      <c r="C37" s="8">
        <f t="shared" si="2"/>
        <v>1.333521432163324</v>
      </c>
      <c r="D37" s="6">
        <f ca="1"/>
        <v>469.94408662001024</v>
      </c>
      <c r="E37" s="7">
        <f ca="1"/>
        <v>7.9394153293802922E-3</v>
      </c>
      <c r="F37" s="7">
        <f ca="1"/>
        <v>2</v>
      </c>
      <c r="G37" s="8">
        <f ca="1"/>
        <v>0.63003355890018775</v>
      </c>
      <c r="H37" s="20">
        <f t="shared" ca="1" si="0"/>
        <v>0.55751704686240755</v>
      </c>
      <c r="I37" s="2"/>
      <c r="J37" s="2" cm="1">
        <f t="array" aca="1" ref="J37" ca="1">thm_rate($C37,qi,Di,bi,bf,telf,bterm,tterm)</f>
        <v>469.94408662001024</v>
      </c>
      <c r="K37" s="2" cm="1">
        <f t="array" aca="1" ref="K37" ca="1">thm_D($C37,qi,Di,bi,bf,telf,bterm,tterm)</f>
        <v>7.9394153293802922E-3</v>
      </c>
      <c r="L37" s="3" cm="1">
        <f t="array" aca="1" ref="L37" ca="1">thm_D_eff(C37,qi,Di,bi,bf,telf,bterm,tterm)</f>
        <v>0.61651025580652674</v>
      </c>
      <c r="M37" s="2" cm="1">
        <f t="array" aca="1" ref="M37" ca="1">thm_b(C37,qi,Di,bi,bf,telf,bterm,tterm)</f>
        <v>2</v>
      </c>
      <c r="N37" s="2" cm="1">
        <f t="array" aca="1" ref="N37" ca="1">thm_monthly_vol(C37,qi,Di,bi,bf,telf,bterm,tterm)</f>
        <v>14.380456126539247</v>
      </c>
      <c r="O37" s="2" cm="1">
        <f t="array" aca="1" ref="O37" ca="1">thm_cum($C37,qi,Di,bi,bf,telf,bterm,tterm)</f>
        <v>0.63003355890018775</v>
      </c>
      <c r="Q37" cm="1">
        <f t="array" aca="1" ref="Q37" ca="1">thm_rate(C37,$F$3,$F$4,$F$5,$F$6,$F$7,$F$8,$F$9)</f>
        <v>251.60497899848951</v>
      </c>
      <c r="R37" s="2" cm="1">
        <f t="array" aca="1" ref="R37" ca="1">thm_cum($C37,$F$3,$F$4,$F$5,$F$6,$F$7,$F$8,$F$9)*$P$3/thm_cum($P$2,$F$3,$F$4,$F$5,$F$6,$F$7,$F$8,$F$9)</f>
        <v>0.33373583377331872</v>
      </c>
      <c r="T37" s="2" cm="1">
        <f t="array" ref="T37">DaysPerMonth+T36</f>
        <v>136.96875</v>
      </c>
      <c r="U37" s="2">
        <f t="shared" ca="1" si="4"/>
        <v>0.94915127437077229</v>
      </c>
      <c r="V37" s="2" t="b">
        <f t="shared" ca="1" si="1"/>
        <v>0</v>
      </c>
      <c r="W37" s="2">
        <f t="shared" ca="1" si="5"/>
        <v>0.21332744867173536</v>
      </c>
      <c r="X37" s="2">
        <f t="shared" ca="1" si="3"/>
        <v>0.82893467712635382</v>
      </c>
      <c r="Y37" s="2">
        <v>1</v>
      </c>
      <c r="Z37" s="2" cm="1">
        <f t="array" aca="1" ref="Z37" ca="1">thm_monthly_vol(T37,qi,Di,bi,bf,telf,bterm,tterm)*X37*Y37</f>
        <v>6.9542318351891357</v>
      </c>
      <c r="AA37" s="2">
        <f t="shared" ca="1" si="6"/>
        <v>43.254149926777309</v>
      </c>
      <c r="AB37" s="2" cm="1">
        <f t="array" aca="1" ref="AB37" ca="1">MAX(1, Z37*1000 / DaysPerMonth * X37)</f>
        <v>189.39150459020343</v>
      </c>
      <c r="AC37" s="2" cm="1">
        <f t="array" aca="1" ref="AC37" ca="1">thm_cum($J$6,qi,Di,bi,bf,telf,bterm,tterm)</f>
        <v>483.89964063591248</v>
      </c>
      <c r="AD37" cm="1">
        <f t="array" aca="1" ref="AD37" ca="1">thm_cum_qf($J$2,qi,Di,bi,bf,telf,bterm,tterm)</f>
        <v>513.52890861553044</v>
      </c>
      <c r="AE37" s="2" cm="1">
        <f t="array" aca="1" ref="AE37" ca="1">thm_eur_t($J$6,T37+DaysPerMonth/2,AA37,qi,Di,bi,bf,telf,bterm,tterm)</f>
        <v>476.6458185538217</v>
      </c>
      <c r="AF37" cm="1">
        <f t="array" aca="1" ref="AF37" ca="1">thm_eur_qf($J$2,T37+DaysPerMonth/2,AA37,qi,Di,bi,bf,telf,bterm,tterm)</f>
        <v>506.27508653343966</v>
      </c>
    </row>
    <row r="38" spans="2:32" x14ac:dyDescent="0.25">
      <c r="B38" s="6" cm="1">
        <f t="array" ref="B38">B37+log_interval</f>
        <v>0.34538776394910686</v>
      </c>
      <c r="C38" s="8">
        <f t="shared" si="2"/>
        <v>1.4125375446227544</v>
      </c>
      <c r="D38" s="6">
        <f ca="1"/>
        <v>469.64954821696637</v>
      </c>
      <c r="E38" s="7">
        <f ca="1"/>
        <v>7.9294663590211856E-3</v>
      </c>
      <c r="F38" s="7">
        <f ca="1"/>
        <v>2</v>
      </c>
      <c r="G38" s="8">
        <f ca="1"/>
        <v>0.66715507341062097</v>
      </c>
      <c r="H38" s="20">
        <f t="shared" ca="1" si="0"/>
        <v>0.59036589570951392</v>
      </c>
      <c r="I38" s="2"/>
      <c r="J38" s="2" cm="1">
        <f t="array" aca="1" ref="J38" ca="1">thm_rate($C38,qi,Di,bi,bf,telf,bterm,tterm)</f>
        <v>469.64954821696637</v>
      </c>
      <c r="K38" s="2" cm="1">
        <f t="array" aca="1" ref="K38" ca="1">thm_D($C38,qi,Di,bi,bf,telf,bterm,tterm)</f>
        <v>7.9294663590211856E-3</v>
      </c>
      <c r="L38" s="3" cm="1">
        <f t="array" aca="1" ref="L38" ca="1">thm_D_eff(C38,qi,Di,bi,bf,telf,bterm,tterm)</f>
        <v>0.61630515001100161</v>
      </c>
      <c r="M38" s="2" cm="1">
        <f t="array" aca="1" ref="M38" ca="1">thm_b(C38,qi,Di,bi,bf,telf,bterm,tterm)</f>
        <v>2</v>
      </c>
      <c r="N38" s="2" cm="1">
        <f t="array" aca="1" ref="N38" ca="1">thm_monthly_vol(C38,qi,Di,bi,bf,telf,bterm,tterm)</f>
        <v>14.375924112062473</v>
      </c>
      <c r="O38" s="2" cm="1">
        <f t="array" aca="1" ref="O38" ca="1">thm_cum($C38,qi,Di,bi,bf,telf,bterm,tterm)</f>
        <v>0.66715507341062097</v>
      </c>
      <c r="Q38" cm="1">
        <f t="array" aca="1" ref="Q38" ca="1">thm_rate(C38,$F$3,$F$4,$F$5,$F$6,$F$7,$F$8,$F$9)</f>
        <v>251.58117971911977</v>
      </c>
      <c r="R38" s="2" cm="1">
        <f t="array" aca="1" ref="R38" ca="1">thm_cum($C38,$F$3,$F$4,$F$5,$F$6,$F$7,$F$8,$F$9)*$P$3/thm_cum($P$2,$F$3,$F$4,$F$5,$F$6,$F$7,$F$8,$F$9)</f>
        <v>0.35349420282167859</v>
      </c>
      <c r="T38" s="2" cm="1">
        <f t="array" ref="T38">DaysPerMonth+T37</f>
        <v>167.40625</v>
      </c>
      <c r="U38" s="2">
        <f t="shared" ca="1" si="4"/>
        <v>0.50510231956283003</v>
      </c>
      <c r="V38" s="2" t="b">
        <f t="shared" ca="1" si="1"/>
        <v>0</v>
      </c>
      <c r="W38" s="2">
        <f t="shared" ca="1" si="5"/>
        <v>0.23570001561184434</v>
      </c>
      <c r="X38" s="2">
        <f t="shared" ca="1" si="3"/>
        <v>0.86389377549386681</v>
      </c>
      <c r="Y38" s="2">
        <v>1</v>
      </c>
      <c r="Z38" s="2" cm="1">
        <f t="array" aca="1" ref="Z38" ca="1">thm_monthly_vol(T38,qi,Di,bi,bf,telf,bterm,tterm)*X38*Y38</f>
        <v>6.71037087926182</v>
      </c>
      <c r="AA38" s="2">
        <f t="shared" ca="1" si="6"/>
        <v>49.964520806039133</v>
      </c>
      <c r="AB38" s="2" cm="1">
        <f t="array" aca="1" ref="AB38" ca="1">MAX(1, Z38*1000 / DaysPerMonth * X38)</f>
        <v>190.4574171285287</v>
      </c>
      <c r="AC38" s="2" cm="1">
        <f t="array" aca="1" ref="AC38" ca="1">thm_cum($J$6,qi,Di,bi,bf,telf,bterm,tterm)</f>
        <v>483.89964063591248</v>
      </c>
      <c r="AD38" cm="1">
        <f t="array" aca="1" ref="AD38" ca="1">thm_cum_qf($J$2,qi,Di,bi,bf,telf,bterm,tterm)</f>
        <v>513.52890861553044</v>
      </c>
      <c r="AE38" s="2" cm="1">
        <f t="array" aca="1" ref="AE38" ca="1">thm_eur_t($J$6,T38+DaysPerMonth/2,AA38,qi,Di,bi,bf,telf,bterm,tterm)</f>
        <v>475.85170015382545</v>
      </c>
      <c r="AF38" cm="1">
        <f t="array" aca="1" ref="AF38" ca="1">thm_eur_qf($J$2,T38+DaysPerMonth/2,AA38,qi,Di,bi,bf,telf,bterm,tterm)</f>
        <v>505.48096813344341</v>
      </c>
    </row>
    <row r="39" spans="2:32" x14ac:dyDescent="0.25">
      <c r="B39" s="6" cm="1">
        <f t="array" ref="B39">B38+log_interval</f>
        <v>0.40295239127395799</v>
      </c>
      <c r="C39" s="8">
        <f t="shared" si="2"/>
        <v>1.4962356560944334</v>
      </c>
      <c r="D39" s="6">
        <f ca="1"/>
        <v>469.33816052548758</v>
      </c>
      <c r="E39" s="7">
        <f ca="1"/>
        <v>7.9189550333407955E-3</v>
      </c>
      <c r="F39" s="7">
        <f ca="1"/>
        <v>2</v>
      </c>
      <c r="G39" s="8">
        <f ca="1"/>
        <v>0.70645081804760523</v>
      </c>
      <c r="H39" s="20">
        <f t="shared" ca="1" si="0"/>
        <v>0.62513872200548826</v>
      </c>
      <c r="I39" s="2"/>
      <c r="J39" s="2" cm="1">
        <f t="array" aca="1" ref="J39" ca="1">thm_rate($C39,qi,Di,bi,bf,telf,bterm,tterm)</f>
        <v>469.33816052548758</v>
      </c>
      <c r="K39" s="2" cm="1">
        <f t="array" aca="1" ref="K39" ca="1">thm_D($C39,qi,Di,bi,bf,telf,bterm,tterm)</f>
        <v>7.9189550333407955E-3</v>
      </c>
      <c r="L39" s="3" cm="1">
        <f t="array" aca="1" ref="L39" ca="1">thm_D_eff(C39,qi,Di,bi,bf,telf,bterm,tterm)</f>
        <v>0.61608809289525723</v>
      </c>
      <c r="M39" s="2" cm="1">
        <f t="array" aca="1" ref="M39" ca="1">thm_b(C39,qi,Di,bi,bf,telf,bterm,tterm)</f>
        <v>2</v>
      </c>
      <c r="N39" s="2" cm="1">
        <f t="array" aca="1" ref="N39" ca="1">thm_monthly_vol(C39,qi,Di,bi,bf,telf,bterm,tterm)</f>
        <v>14.371129766049947</v>
      </c>
      <c r="O39" s="2" cm="1">
        <f t="array" aca="1" ref="O39" ca="1">thm_cum($C39,qi,Di,bi,bf,telf,bterm,tterm)</f>
        <v>0.70645081804760523</v>
      </c>
      <c r="Q39" cm="1">
        <f t="array" aca="1" ref="Q39" ca="1">thm_rate(C39,$F$3,$F$4,$F$5,$F$6,$F$7,$F$8,$F$9)</f>
        <v>251.55597463826319</v>
      </c>
      <c r="R39" s="2" cm="1">
        <f t="array" aca="1" ref="R39" ca="1">thm_cum($C39,$F$3,$F$4,$F$5,$F$6,$F$7,$F$8,$F$9)*$P$3/thm_cum($P$2,$F$3,$F$4,$F$5,$F$6,$F$7,$F$8,$F$9)</f>
        <v>0.37442129058768125</v>
      </c>
      <c r="T39" s="2" cm="1">
        <f t="array" ref="T39">DaysPerMonth+T38</f>
        <v>197.84375</v>
      </c>
      <c r="U39" s="2">
        <f t="shared" ca="1" si="4"/>
        <v>0.80155174893307879</v>
      </c>
      <c r="V39" s="2" t="b">
        <f t="shared" ca="1" si="1"/>
        <v>0</v>
      </c>
      <c r="W39" s="2">
        <f t="shared" ca="1" si="5"/>
        <v>0.49689654043867459</v>
      </c>
      <c r="X39" s="2">
        <f t="shared" ca="1" si="3"/>
        <v>0.99820354542779766</v>
      </c>
      <c r="Y39" s="2">
        <v>1</v>
      </c>
      <c r="Z39" s="2" cm="1">
        <f t="array" aca="1" ref="Z39" ca="1">thm_monthly_vol(T39,qi,Di,bi,bf,telf,bterm,tterm)*X39*Y39</f>
        <v>7.2534128828715883</v>
      </c>
      <c r="AA39" s="2">
        <f t="shared" ca="1" si="6"/>
        <v>57.217933688910719</v>
      </c>
      <c r="AB39" s="2" cm="1">
        <f t="array" aca="1" ref="AB39" ca="1">MAX(1, Z39*1000 / DaysPerMonth * X39)</f>
        <v>237.87704167996984</v>
      </c>
      <c r="AC39" s="2" cm="1">
        <f t="array" aca="1" ref="AC39" ca="1">thm_cum($J$6,qi,Di,bi,bf,telf,bterm,tterm)</f>
        <v>483.89964063591248</v>
      </c>
      <c r="AD39" cm="1">
        <f t="array" aca="1" ref="AD39" ca="1">thm_cum_qf($J$2,qi,Di,bi,bf,telf,bterm,tterm)</f>
        <v>513.52890861553044</v>
      </c>
      <c r="AE39" s="2" cm="1">
        <f t="array" aca="1" ref="AE39" ca="1">thm_eur_t($J$6,T39+DaysPerMonth/2,AA39,qi,Di,bi,bf,telf,bterm,tterm)</f>
        <v>476.05534303508472</v>
      </c>
      <c r="AF39" cm="1">
        <f t="array" aca="1" ref="AF39" ca="1">thm_eur_qf($J$2,T39+DaysPerMonth/2,AA39,qi,Di,bi,bf,telf,bterm,tterm)</f>
        <v>505.68461101470268</v>
      </c>
    </row>
    <row r="40" spans="2:32" x14ac:dyDescent="0.25">
      <c r="B40" s="6" cm="1">
        <f t="array" ref="B40">B39+log_interval</f>
        <v>0.46051701859880911</v>
      </c>
      <c r="C40" s="8">
        <f t="shared" si="2"/>
        <v>1.5848931924611134</v>
      </c>
      <c r="D40" s="6">
        <f ca="1"/>
        <v>469.00899652206868</v>
      </c>
      <c r="E40" s="7">
        <f ca="1"/>
        <v>7.9078512233519364E-3</v>
      </c>
      <c r="F40" s="7">
        <f ca="1"/>
        <v>2</v>
      </c>
      <c r="G40" s="8">
        <f ca="1"/>
        <v>0.74804658652931533</v>
      </c>
      <c r="H40" s="20">
        <f t="shared" ca="1" si="0"/>
        <v>0.6619468406815433</v>
      </c>
      <c r="I40" s="2"/>
      <c r="J40" s="2" cm="1">
        <f t="array" aca="1" ref="J40" ca="1">thm_rate($C40,qi,Di,bi,bf,telf,bterm,tterm)</f>
        <v>469.00899652206868</v>
      </c>
      <c r="K40" s="2" cm="1">
        <f t="array" aca="1" ref="K40" ca="1">thm_D($C40,qi,Di,bi,bf,telf,bterm,tterm)</f>
        <v>7.9078512233519364E-3</v>
      </c>
      <c r="L40" s="3" cm="1">
        <f t="array" aca="1" ref="L40" ca="1">thm_D_eff(C40,qi,Di,bi,bf,telf,bterm,tterm)</f>
        <v>0.61585840050338647</v>
      </c>
      <c r="M40" s="2" cm="1">
        <f t="array" aca="1" ref="M40" ca="1">thm_b(C40,qi,Di,bi,bf,telf,bterm,tterm)</f>
        <v>2</v>
      </c>
      <c r="N40" s="2" cm="1">
        <f t="array" aca="1" ref="N40" ca="1">thm_monthly_vol(C40,qi,Di,bi,bf,telf,bterm,tterm)</f>
        <v>14.366058284425801</v>
      </c>
      <c r="O40" s="2" cm="1">
        <f t="array" aca="1" ref="O40" ca="1">thm_cum($C40,qi,Di,bi,bf,telf,bterm,tterm)</f>
        <v>0.74804658652931533</v>
      </c>
      <c r="Q40" cm="1">
        <f t="array" aca="1" ref="Q40" ca="1">thm_rate(C40,$F$3,$F$4,$F$5,$F$6,$F$7,$F$8,$F$9)</f>
        <v>251.52928099187568</v>
      </c>
      <c r="R40" s="2" cm="1">
        <f t="array" aca="1" ref="R40" ca="1">thm_cum($C40,$F$3,$F$4,$F$5,$F$6,$F$7,$F$8,$F$9)*$P$3/thm_cum($P$2,$F$3,$F$4,$F$5,$F$6,$F$7,$F$8,$F$9)</f>
        <v>0.3965860997152334</v>
      </c>
      <c r="T40" s="2" cm="1">
        <f t="array" ref="T40">DaysPerMonth+T39</f>
        <v>228.28125</v>
      </c>
      <c r="U40" s="2">
        <f t="shared" ca="1" si="4"/>
        <v>0.55278412455959225</v>
      </c>
      <c r="V40" s="2" t="b">
        <f t="shared" ca="1" si="1"/>
        <v>0</v>
      </c>
      <c r="W40" s="2">
        <f t="shared" ca="1" si="5"/>
        <v>0.24743992097146761</v>
      </c>
      <c r="X40" s="2">
        <f t="shared" ca="1" si="3"/>
        <v>1.0028957235472833</v>
      </c>
      <c r="Y40" s="2">
        <v>1</v>
      </c>
      <c r="Z40" s="2" cm="1">
        <f t="array" aca="1" ref="Z40" ca="1">thm_monthly_vol(T40,qi,Di,bi,bf,telf,bterm,tterm)*X40*Y40</f>
        <v>6.8712301688593298</v>
      </c>
      <c r="AA40" s="2">
        <f t="shared" ca="1" si="6"/>
        <v>64.089163857770046</v>
      </c>
      <c r="AB40" s="2" cm="1">
        <f t="array" aca="1" ref="AB40" ca="1">MAX(1, Z40*1000 / DaysPerMonth * X40)</f>
        <v>226.40254133414697</v>
      </c>
      <c r="AC40" s="2" cm="1">
        <f t="array" aca="1" ref="AC40" ca="1">thm_cum($J$6,qi,Di,bi,bf,telf,bterm,tterm)</f>
        <v>483.89964063591248</v>
      </c>
      <c r="AD40" cm="1">
        <f t="array" aca="1" ref="AD40" ca="1">thm_cum_qf($J$2,qi,Di,bi,bf,telf,bterm,tterm)</f>
        <v>513.52890861553044</v>
      </c>
      <c r="AE40" s="2" cm="1">
        <f t="array" aca="1" ref="AE40" ca="1">thm_eur_t($J$6,T40+DaysPerMonth/2,AA40,qi,Di,bi,bf,telf,bterm,tterm)</f>
        <v>476.25769063626888</v>
      </c>
      <c r="AF40" cm="1">
        <f t="array" aca="1" ref="AF40" ca="1">thm_eur_qf($J$2,T40+DaysPerMonth/2,AA40,qi,Di,bi,bf,telf,bterm,tterm)</f>
        <v>505.88695861588684</v>
      </c>
    </row>
    <row r="41" spans="2:32" x14ac:dyDescent="0.25">
      <c r="B41" s="6" cm="1">
        <f t="array" ref="B41">B40+log_interval</f>
        <v>0.51808164592366024</v>
      </c>
      <c r="C41" s="8">
        <f t="shared" si="2"/>
        <v>1.6788040181225603</v>
      </c>
      <c r="D41" s="6">
        <f ca="1"/>
        <v>468.66108255070122</v>
      </c>
      <c r="E41" s="7">
        <f ca="1"/>
        <v>7.8961233823251365E-3</v>
      </c>
      <c r="F41" s="7">
        <f ca="1"/>
        <v>2</v>
      </c>
      <c r="G41" s="8">
        <f ca="1"/>
        <v>0.79207526612970769</v>
      </c>
      <c r="H41" s="20">
        <f t="shared" ca="1" si="0"/>
        <v>0.7009078437603502</v>
      </c>
      <c r="I41" s="2"/>
      <c r="J41" s="2" cm="1">
        <f t="array" aca="1" ref="J41" ca="1">thm_rate($C41,qi,Di,bi,bf,telf,bterm,tterm)</f>
        <v>468.66108255070122</v>
      </c>
      <c r="K41" s="2" cm="1">
        <f t="array" aca="1" ref="K41" ca="1">thm_D($C41,qi,Di,bi,bf,telf,bterm,tterm)</f>
        <v>7.8961233823251365E-3</v>
      </c>
      <c r="L41" s="3" cm="1">
        <f t="array" aca="1" ref="L41" ca="1">thm_D_eff(C41,qi,Di,bi,bf,telf,bterm,tterm)</f>
        <v>0.61561535122492628</v>
      </c>
      <c r="M41" s="2" cm="1">
        <f t="array" aca="1" ref="M41" ca="1">thm_b(C41,qi,Di,bi,bf,telf,bterm,tterm)</f>
        <v>2</v>
      </c>
      <c r="N41" s="2" cm="1">
        <f t="array" aca="1" ref="N41" ca="1">thm_monthly_vol(C41,qi,Di,bi,bf,telf,bterm,tterm)</f>
        <v>14.360694073024865</v>
      </c>
      <c r="O41" s="2" cm="1">
        <f t="array" aca="1" ref="O41" ca="1">thm_cum($C41,qi,Di,bi,bf,telf,bterm,tterm)</f>
        <v>0.79207526612970769</v>
      </c>
      <c r="Q41" cm="1">
        <f t="array" aca="1" ref="Q41" ca="1">thm_rate(C41,$F$3,$F$4,$F$5,$F$6,$F$7,$F$8,$F$9)</f>
        <v>251.50101117686683</v>
      </c>
      <c r="R41" s="2" cm="1">
        <f t="array" aca="1" ref="R41" ca="1">thm_cum($C41,$F$3,$F$4,$F$5,$F$6,$F$7,$F$8,$F$9)*$P$3/thm_cum($P$2,$F$3,$F$4,$F$5,$F$6,$F$7,$F$8,$F$9)</f>
        <v>0.42006169129268722</v>
      </c>
      <c r="T41" s="2" cm="1">
        <f t="array" ref="T41">DaysPerMonth+T40</f>
        <v>258.71875</v>
      </c>
      <c r="U41" s="2">
        <f t="shared" ca="1" si="4"/>
        <v>0.28120029587414186</v>
      </c>
      <c r="V41" s="2" t="b">
        <f t="shared" ca="1" si="1"/>
        <v>0</v>
      </c>
      <c r="W41" s="2">
        <f t="shared" ca="1" si="5"/>
        <v>0.63246554260351795</v>
      </c>
      <c r="X41" s="2">
        <f t="shared" ca="1" si="3"/>
        <v>1.0159557746578443</v>
      </c>
      <c r="Y41" s="2">
        <v>1</v>
      </c>
      <c r="Z41" s="2" cm="1">
        <f t="array" aca="1" ref="Z41" ca="1">thm_monthly_vol(T41,qi,Di,bi,bf,telf,bterm,tterm)*X41*Y41</f>
        <v>6.6039515221826912</v>
      </c>
      <c r="AA41" s="2">
        <f t="shared" ca="1" si="6"/>
        <v>70.693115379952744</v>
      </c>
      <c r="AB41" s="2" cm="1">
        <f t="array" aca="1" ref="AB41" ca="1">MAX(1, Z41*1000 / DaysPerMonth * X41)</f>
        <v>220.42949271530074</v>
      </c>
      <c r="AC41" s="2" cm="1">
        <f t="array" aca="1" ref="AC41" ca="1">thm_cum($J$6,qi,Di,bi,bf,telf,bterm,tterm)</f>
        <v>483.89964063591248</v>
      </c>
      <c r="AD41" cm="1">
        <f t="array" aca="1" ref="AD41" ca="1">thm_cum_qf($J$2,qi,Di,bi,bf,telf,bterm,tterm)</f>
        <v>513.52890861553044</v>
      </c>
      <c r="AE41" s="2" cm="1">
        <f t="array" aca="1" ref="AE41" ca="1">thm_eur_t($J$6,T41+DaysPerMonth/2,AA41,qi,Di,bi,bf,telf,bterm,tterm)</f>
        <v>476.51786502479513</v>
      </c>
      <c r="AF41" cm="1">
        <f t="array" aca="1" ref="AF41" ca="1">thm_eur_qf($J$2,T41+DaysPerMonth/2,AA41,qi,Di,bi,bf,telf,bterm,tterm)</f>
        <v>506.14713300441309</v>
      </c>
    </row>
    <row r="42" spans="2:32" x14ac:dyDescent="0.25">
      <c r="B42" s="6" cm="1">
        <f t="array" ref="B42">B41+log_interval</f>
        <v>0.57564627324851136</v>
      </c>
      <c r="C42" s="8">
        <f t="shared" si="2"/>
        <v>1.7782794100389228</v>
      </c>
      <c r="D42" s="6">
        <f ca="1"/>
        <v>468.2933964980117</v>
      </c>
      <c r="E42" s="7">
        <f ca="1"/>
        <v>7.8837385026651087E-3</v>
      </c>
      <c r="F42" s="7">
        <f ca="1"/>
        <v>2</v>
      </c>
      <c r="G42" s="8">
        <f ca="1"/>
        <v>0.83867721595864864</v>
      </c>
      <c r="H42" s="20">
        <f t="shared" ca="1" si="0"/>
        <v>0.74214593509633453</v>
      </c>
      <c r="I42" s="2"/>
      <c r="J42" s="2" cm="1">
        <f t="array" aca="1" ref="J42" ca="1">thm_rate($C42,qi,Di,bi,bf,telf,bterm,tterm)</f>
        <v>468.2933964980117</v>
      </c>
      <c r="K42" s="2" cm="1">
        <f t="array" aca="1" ref="K42" ca="1">thm_D($C42,qi,Di,bi,bf,telf,bterm,tterm)</f>
        <v>7.8837385026651087E-3</v>
      </c>
      <c r="L42" s="3" cm="1">
        <f t="array" aca="1" ref="L42" ca="1">thm_D_eff(C42,qi,Di,bi,bf,telf,bterm,tterm)</f>
        <v>0.61535818389933428</v>
      </c>
      <c r="M42" s="2" cm="1">
        <f t="array" aca="1" ref="M42" ca="1">thm_b(C42,qi,Di,bi,bf,telf,bterm,tterm)</f>
        <v>2</v>
      </c>
      <c r="N42" s="2" cm="1">
        <f t="array" aca="1" ref="N42" ca="1">thm_monthly_vol(C42,qi,Di,bi,bf,telf,bterm,tterm)</f>
        <v>14.355020710824419</v>
      </c>
      <c r="O42" s="2" cm="1">
        <f t="array" aca="1" ref="O42" ca="1">thm_cum($C42,qi,Di,bi,bf,telf,bterm,tterm)</f>
        <v>0.83867721595864864</v>
      </c>
      <c r="Q42" cm="1">
        <f t="array" aca="1" ref="Q42" ca="1">thm_rate(C42,$F$3,$F$4,$F$5,$F$6,$F$7,$F$8,$F$9)</f>
        <v>251.47107247225813</v>
      </c>
      <c r="R42" s="2" cm="1">
        <f t="array" aca="1" ref="R42" ca="1">thm_cum($C42,$F$3,$F$4,$F$5,$F$6,$F$7,$F$8,$F$9)*$P$3/thm_cum($P$2,$F$3,$F$4,$F$5,$F$6,$F$7,$F$8,$F$9)</f>
        <v>0.44492542165855103</v>
      </c>
      <c r="T42" s="2" cm="1">
        <f t="array" ref="T42">DaysPerMonth+T41</f>
        <v>289.15625</v>
      </c>
      <c r="U42" s="2">
        <f t="shared" ca="1" si="4"/>
        <v>0.41223724881248303</v>
      </c>
      <c r="V42" s="2" t="b">
        <f t="shared" ca="1" si="1"/>
        <v>0</v>
      </c>
      <c r="W42" s="2">
        <f t="shared" ca="1" si="5"/>
        <v>0.30744050402391943</v>
      </c>
      <c r="X42" s="2">
        <f t="shared" ca="1" si="3"/>
        <v>0.91667512921857952</v>
      </c>
      <c r="Y42" s="2">
        <v>1</v>
      </c>
      <c r="Z42" s="2" cm="1">
        <f t="array" aca="1" ref="Z42" ca="1">thm_monthly_vol(T42,qi,Di,bi,bf,telf,bterm,tterm)*X42*Y42</f>
        <v>5.6816499240943017</v>
      </c>
      <c r="AA42" s="2">
        <f t="shared" ca="1" si="6"/>
        <v>76.374765304047045</v>
      </c>
      <c r="AB42" s="2" cm="1">
        <f t="array" aca="1" ref="AB42" ca="1">MAX(1, Z42*1000 / DaysPerMonth * X42)</f>
        <v>171.112186557499</v>
      </c>
      <c r="AC42" s="2" cm="1">
        <f t="array" aca="1" ref="AC42" ca="1">thm_cum($J$6,qi,Di,bi,bf,telf,bterm,tterm)</f>
        <v>483.89964063591248</v>
      </c>
      <c r="AD42" cm="1">
        <f t="array" aca="1" ref="AD42" ca="1">thm_cum_qf($J$2,qi,Di,bi,bf,telf,bterm,tterm)</f>
        <v>513.52890861553044</v>
      </c>
      <c r="AE42" s="2" cm="1">
        <f t="array" aca="1" ref="AE42" ca="1">thm_eur_t($J$6,T42+DaysPerMonth/2,AA42,qi,Di,bi,bf,telf,bterm,tterm)</f>
        <v>476.13747808405486</v>
      </c>
      <c r="AF42" cm="1">
        <f t="array" aca="1" ref="AF42" ca="1">thm_eur_qf($J$2,T42+DaysPerMonth/2,AA42,qi,Di,bi,bf,telf,bterm,tterm)</f>
        <v>505.76674606367283</v>
      </c>
    </row>
    <row r="43" spans="2:32" x14ac:dyDescent="0.25">
      <c r="B43" s="6" cm="1">
        <f t="array" ref="B43">B42+log_interval</f>
        <v>0.63321090057336249</v>
      </c>
      <c r="C43" s="8">
        <f t="shared" si="2"/>
        <v>1.8836490894898004</v>
      </c>
      <c r="D43" s="6">
        <f ca="1"/>
        <v>467.9048659615828</v>
      </c>
      <c r="E43" s="7">
        <f ca="1"/>
        <v>7.8706620745225379E-3</v>
      </c>
      <c r="F43" s="7">
        <f ca="1"/>
        <v>2</v>
      </c>
      <c r="G43" s="8">
        <f ca="1"/>
        <v>0.8880006628724656</v>
      </c>
      <c r="H43" s="20">
        <f t="shared" ca="1" si="0"/>
        <v>0.78579228071714358</v>
      </c>
      <c r="I43" s="2"/>
      <c r="J43" s="2" cm="1">
        <f t="array" aca="1" ref="J43" ca="1">thm_rate($C43,qi,Di,bi,bf,telf,bterm,tterm)</f>
        <v>467.9048659615828</v>
      </c>
      <c r="K43" s="2" cm="1">
        <f t="array" aca="1" ref="K43" ca="1">thm_D($C43,qi,Di,bi,bf,telf,bterm,tterm)</f>
        <v>7.8706620745225379E-3</v>
      </c>
      <c r="L43" s="3" cm="1">
        <f t="array" aca="1" ref="L43" ca="1">thm_D_eff(C43,qi,Di,bi,bf,telf,bterm,tterm)</f>
        <v>0.61508609584641638</v>
      </c>
      <c r="M43" s="2" cm="1">
        <f t="array" aca="1" ref="M43" ca="1">thm_b(C43,qi,Di,bi,bf,telf,bterm,tterm)</f>
        <v>2</v>
      </c>
      <c r="N43" s="2" cm="1">
        <f t="array" aca="1" ref="N43" ca="1">thm_monthly_vol(C43,qi,Di,bi,bf,telf,bterm,tterm)</f>
        <v>14.349020912117732</v>
      </c>
      <c r="O43" s="2" cm="1">
        <f t="array" aca="1" ref="O43" ca="1">thm_cum($C43,qi,Di,bi,bf,telf,bterm,tterm)</f>
        <v>0.8880006628724656</v>
      </c>
      <c r="Q43" cm="1">
        <f t="array" aca="1" ref="Q43" ca="1">thm_rate(C43,$F$3,$F$4,$F$5,$F$6,$F$7,$F$8,$F$9)</f>
        <v>251.43936674477334</v>
      </c>
      <c r="R43" s="2" cm="1">
        <f t="array" aca="1" ref="R43" ca="1">thm_cum($C43,$F$3,$F$4,$F$5,$F$6,$F$7,$F$8,$F$9)*$P$3/thm_cum($P$2,$F$3,$F$4,$F$5,$F$6,$F$7,$F$8,$F$9)</f>
        <v>0.47125919279190276</v>
      </c>
      <c r="T43" s="2" cm="1">
        <f t="array" ref="T43">DaysPerMonth+T42</f>
        <v>319.59375</v>
      </c>
      <c r="U43" s="2">
        <f t="shared" ca="1" si="4"/>
        <v>0.22168267970696154</v>
      </c>
      <c r="V43" s="2" t="b">
        <f t="shared" ca="1" si="1"/>
        <v>0</v>
      </c>
      <c r="W43" s="2">
        <f t="shared" ca="1" si="5"/>
        <v>3.4876351998090242E-2</v>
      </c>
      <c r="X43" s="2">
        <f t="shared" ca="1" si="3"/>
        <v>0.78732144592740183</v>
      </c>
      <c r="Y43" s="2">
        <v>1</v>
      </c>
      <c r="Z43" s="2" cm="1">
        <f t="array" aca="1" ref="Z43" ca="1">thm_monthly_vol(T43,qi,Di,bi,bf,telf,bterm,tterm)*X43*Y43</f>
        <v>4.6724045711037707</v>
      </c>
      <c r="AA43" s="2">
        <f t="shared" ca="1" si="6"/>
        <v>81.047169875150814</v>
      </c>
      <c r="AB43" s="2" cm="1">
        <f t="array" aca="1" ref="AB43" ca="1">MAX(1, Z43*1000 / DaysPerMonth * X43)</f>
        <v>120.8602652280648</v>
      </c>
      <c r="AC43" s="2" cm="1">
        <f t="array" aca="1" ref="AC43" ca="1">thm_cum($J$6,qi,Di,bi,bf,telf,bterm,tterm)</f>
        <v>483.89964063591248</v>
      </c>
      <c r="AD43" cm="1">
        <f t="array" aca="1" ref="AD43" ca="1">thm_cum_qf($J$2,qi,Di,bi,bf,telf,bterm,tterm)</f>
        <v>513.52890861553044</v>
      </c>
      <c r="AE43" s="2" cm="1">
        <f t="array" aca="1" ref="AE43" ca="1">thm_eur_t($J$6,T43+DaysPerMonth/2,AA43,qi,Di,bi,bf,telf,bterm,tterm)</f>
        <v>474.9950816311316</v>
      </c>
      <c r="AF43" cm="1">
        <f t="array" aca="1" ref="AF43" ca="1">thm_eur_qf($J$2,T43+DaysPerMonth/2,AA43,qi,Di,bi,bf,telf,bterm,tterm)</f>
        <v>504.62434961074956</v>
      </c>
    </row>
    <row r="44" spans="2:32" x14ac:dyDescent="0.25">
      <c r="B44" s="6" cm="1">
        <f t="array" ref="B44">B43+log_interval</f>
        <v>0.69077552789821361</v>
      </c>
      <c r="C44" s="8">
        <f t="shared" si="2"/>
        <v>1.9952623149688795</v>
      </c>
      <c r="D44" s="6">
        <f ca="1"/>
        <v>467.49436642112647</v>
      </c>
      <c r="E44" s="7">
        <f ca="1"/>
        <v>7.8568580466478691E-3</v>
      </c>
      <c r="F44" s="7">
        <f ca="1"/>
        <v>2</v>
      </c>
      <c r="G44" s="8">
        <f ca="1"/>
        <v>0.94020211553748356</v>
      </c>
      <c r="H44" s="20">
        <f t="shared" ca="1" si="0"/>
        <v>0.83198537522869997</v>
      </c>
      <c r="I44" s="2"/>
      <c r="J44" s="2" cm="1">
        <f t="array" aca="1" ref="J44" ca="1">thm_rate($C44,qi,Di,bi,bf,telf,bterm,tterm)</f>
        <v>467.49436642112647</v>
      </c>
      <c r="K44" s="2" cm="1">
        <f t="array" aca="1" ref="K44" ca="1">thm_D($C44,qi,Di,bi,bf,telf,bterm,tterm)</f>
        <v>7.8568580466478691E-3</v>
      </c>
      <c r="L44" s="3" cm="1">
        <f t="array" aca="1" ref="L44" ca="1">thm_D_eff(C44,qi,Di,bi,bf,telf,bterm,tterm)</f>
        <v>0.61479824082250767</v>
      </c>
      <c r="M44" s="2" cm="1">
        <f t="array" aca="1" ref="M44" ca="1">thm_b(C44,qi,Di,bi,bf,telf,bterm,tterm)</f>
        <v>2</v>
      </c>
      <c r="N44" s="2" cm="1">
        <f t="array" aca="1" ref="N44" ca="1">thm_monthly_vol(C44,qi,Di,bi,bf,telf,bterm,tterm)</f>
        <v>14.342676487687038</v>
      </c>
      <c r="O44" s="2" cm="1">
        <f t="array" aca="1" ref="O44" ca="1">thm_cum($C44,qi,Di,bi,bf,telf,bterm,tterm)</f>
        <v>0.94020211553748356</v>
      </c>
      <c r="Q44" cm="1">
        <f t="array" aca="1" ref="Q44" ca="1">thm_rate(C44,$F$3,$F$4,$F$5,$F$6,$F$7,$F$8,$F$9)</f>
        <v>251.40579013805302</v>
      </c>
      <c r="R44" s="2" cm="1">
        <f t="array" aca="1" ref="R44" ca="1">thm_cum($C44,$F$3,$F$4,$F$5,$F$6,$F$7,$F$8,$F$9)*$P$3/thm_cum($P$2,$F$3,$F$4,$F$5,$F$6,$F$7,$F$8,$F$9)</f>
        <v>0.49914971704181177</v>
      </c>
      <c r="T44" s="2" cm="1">
        <f t="array" ref="T44">DaysPerMonth+T43</f>
        <v>350.03125</v>
      </c>
      <c r="U44" s="2">
        <f t="shared" ca="1" si="4"/>
        <v>0.6370419228587062</v>
      </c>
      <c r="V44" s="2" t="b">
        <f t="shared" ca="1" si="1"/>
        <v>0</v>
      </c>
      <c r="W44" s="2">
        <f t="shared" ca="1" si="5"/>
        <v>2.7436010757869965E-2</v>
      </c>
      <c r="X44" s="2">
        <f t="shared" ca="1" si="3"/>
        <v>0.57926829754840958</v>
      </c>
      <c r="Y44" s="2">
        <v>1</v>
      </c>
      <c r="Z44" s="2" cm="1">
        <f t="array" aca="1" ref="Z44" ca="1">thm_monthly_vol(T44,qi,Di,bi,bf,telf,bterm,tterm)*X44*Y44</f>
        <v>3.3029791346177375</v>
      </c>
      <c r="AA44" s="2">
        <f t="shared" ca="1" si="6"/>
        <v>84.350149009768558</v>
      </c>
      <c r="AB44" s="2" cm="1">
        <f t="array" aca="1" ref="AB44" ca="1">MAX(1, Z44*1000 / DaysPerMonth * X44)</f>
        <v>62.860323618823358</v>
      </c>
      <c r="AC44" s="2" cm="1">
        <f t="array" aca="1" ref="AC44" ca="1">thm_cum($J$6,qi,Di,bi,bf,telf,bterm,tterm)</f>
        <v>483.89964063591248</v>
      </c>
      <c r="AD44" cm="1">
        <f t="array" aca="1" ref="AD44" ca="1">thm_cum_qf($J$2,qi,Di,bi,bf,telf,bterm,tterm)</f>
        <v>513.52890861553044</v>
      </c>
      <c r="AE44" s="2" cm="1">
        <f t="array" aca="1" ref="AE44" ca="1">thm_eur_t($J$6,T44+DaysPerMonth/2,AA44,qi,Di,bi,bf,telf,bterm,tterm)</f>
        <v>472.70288764831616</v>
      </c>
      <c r="AF44" cm="1">
        <f t="array" aca="1" ref="AF44" ca="1">thm_eur_qf($J$2,T44+DaysPerMonth/2,AA44,qi,Di,bi,bf,telf,bterm,tterm)</f>
        <v>502.33215562793418</v>
      </c>
    </row>
    <row r="45" spans="2:32" x14ac:dyDescent="0.25">
      <c r="B45" s="6" cm="1">
        <f t="array" ref="B45">B44+log_interval</f>
        <v>0.74834015522306474</v>
      </c>
      <c r="C45" s="8">
        <f t="shared" si="2"/>
        <v>2.1134890398366464</v>
      </c>
      <c r="D45" s="6">
        <f ca="1"/>
        <v>467.06071942359756</v>
      </c>
      <c r="E45" s="7">
        <f ca="1"/>
        <v>7.8422887900533381E-3</v>
      </c>
      <c r="F45" s="7">
        <f ca="1"/>
        <v>2</v>
      </c>
      <c r="G45" s="8">
        <f ca="1"/>
        <v>0.99544679714676465</v>
      </c>
      <c r="H45" s="20">
        <f t="shared" ca="1" si="0"/>
        <v>0.88087142472648516</v>
      </c>
      <c r="I45" s="2"/>
      <c r="J45" s="2" cm="1">
        <f t="array" aca="1" ref="J45" ca="1">thm_rate($C45,qi,Di,bi,bf,telf,bterm,tterm)</f>
        <v>467.06071942359756</v>
      </c>
      <c r="K45" s="2" cm="1">
        <f t="array" aca="1" ref="K45" ca="1">thm_D($C45,qi,Di,bi,bf,telf,bterm,tterm)</f>
        <v>7.8422887900533381E-3</v>
      </c>
      <c r="L45" s="3" cm="1">
        <f t="array" aca="1" ref="L45" ca="1">thm_D_eff(C45,qi,Di,bi,bf,telf,bterm,tterm)</f>
        <v>0.61449372690262516</v>
      </c>
      <c r="M45" s="2" cm="1">
        <f t="array" aca="1" ref="M45" ca="1">thm_b(C45,qi,Di,bi,bf,telf,bterm,tterm)</f>
        <v>2</v>
      </c>
      <c r="N45" s="2" cm="1">
        <f t="array" aca="1" ref="N45" ca="1">thm_monthly_vol(C45,qi,Di,bi,bf,telf,bterm,tterm)</f>
        <v>14.335968305043343</v>
      </c>
      <c r="O45" s="2" cm="1">
        <f t="array" aca="1" ref="O45" ca="1">thm_cum($C45,qi,Di,bi,bf,telf,bterm,tterm)</f>
        <v>0.99544679714676465</v>
      </c>
      <c r="Q45" cm="1">
        <f t="array" aca="1" ref="Q45" ca="1">thm_rate(C45,$F$3,$F$4,$F$5,$F$6,$F$7,$F$8,$F$9)</f>
        <v>251.37023274465133</v>
      </c>
      <c r="R45" s="2" cm="1">
        <f t="array" aca="1" ref="R45" ca="1">thm_cum($C45,$F$3,$F$4,$F$5,$F$6,$F$7,$F$8,$F$9)*$P$3/thm_cum($P$2,$F$3,$F$4,$F$5,$F$6,$F$7,$F$8,$F$9)</f>
        <v>0.52868879698265092</v>
      </c>
      <c r="T45" s="2" cm="1">
        <f t="array" ref="T45">DaysPerMonth+T44</f>
        <v>380.46875</v>
      </c>
      <c r="U45" s="2">
        <f t="shared" ca="1" si="4"/>
        <v>0.91057717898533885</v>
      </c>
      <c r="V45" s="2" t="b">
        <f t="shared" ca="1" si="1"/>
        <v>0</v>
      </c>
      <c r="W45" s="2">
        <f t="shared" ca="1" si="5"/>
        <v>0.71461231091886279</v>
      </c>
      <c r="X45" s="2">
        <f t="shared" ca="1" si="3"/>
        <v>1.1528100614863288</v>
      </c>
      <c r="Y45" s="2">
        <v>1</v>
      </c>
      <c r="Z45" s="2" cm="1">
        <f t="array" aca="1" ref="Z45" ca="1">thm_monthly_vol(T45,qi,Di,bi,bf,telf,bterm,tterm)*X45*Y45</f>
        <v>6.3329261638083576</v>
      </c>
      <c r="AA45" s="2">
        <f t="shared" ca="1" si="6"/>
        <v>90.68307517357691</v>
      </c>
      <c r="AB45" s="2" cm="1">
        <f t="array" aca="1" ref="AB45" ca="1">MAX(1, Z45*1000 / DaysPerMonth * X45)</f>
        <v>239.85744559468722</v>
      </c>
      <c r="AC45" s="2" cm="1">
        <f t="array" aca="1" ref="AC45" ca="1">thm_cum($J$6,qi,Di,bi,bf,telf,bterm,tterm)</f>
        <v>483.89964063591248</v>
      </c>
      <c r="AD45" cm="1">
        <f t="array" aca="1" ref="AD45" ca="1">thm_cum_qf($J$2,qi,Di,bi,bf,telf,bterm,tterm)</f>
        <v>513.52890861553044</v>
      </c>
      <c r="AE45" s="2" cm="1">
        <f t="array" aca="1" ref="AE45" ca="1">thm_eur_t($J$6,T45+DaysPerMonth/2,AA45,qi,Di,bi,bf,telf,bterm,tterm)</f>
        <v>473.63945362670768</v>
      </c>
      <c r="AF45" cm="1">
        <f t="array" aca="1" ref="AF45" ca="1">thm_eur_qf($J$2,T45+DaysPerMonth/2,AA45,qi,Di,bi,bf,telf,bterm,tterm)</f>
        <v>503.26872160632558</v>
      </c>
    </row>
    <row r="46" spans="2:32" x14ac:dyDescent="0.25">
      <c r="B46" s="6" cm="1">
        <f t="array" ref="B46">B45+log_interval</f>
        <v>0.80590478254791587</v>
      </c>
      <c r="C46" s="8">
        <f t="shared" si="2"/>
        <v>2.2387211385683394</v>
      </c>
      <c r="D46" s="6">
        <f ca="1"/>
        <v>466.60269079487841</v>
      </c>
      <c r="E46" s="7">
        <f ca="1"/>
        <v>7.8269150651131721E-3</v>
      </c>
      <c r="F46" s="7">
        <f ca="1"/>
        <v>2</v>
      </c>
      <c r="G46" s="8">
        <f ca="1"/>
        <v>1.0539090972625242</v>
      </c>
      <c r="H46" s="20">
        <f t="shared" ca="1" si="0"/>
        <v>0.93260474663114534</v>
      </c>
      <c r="I46" s="2"/>
      <c r="J46" s="2" cm="1">
        <f t="array" aca="1" ref="J46" ca="1">thm_rate($C46,qi,Di,bi,bf,telf,bterm,tterm)</f>
        <v>466.60269079487841</v>
      </c>
      <c r="K46" s="2" cm="1">
        <f t="array" aca="1" ref="K46" ca="1">thm_D($C46,qi,Di,bi,bf,telf,bterm,tterm)</f>
        <v>7.8269150651131721E-3</v>
      </c>
      <c r="L46" s="3" cm="1">
        <f t="array" aca="1" ref="L46" ca="1">thm_D_eff(C46,qi,Di,bi,bf,telf,bterm,tterm)</f>
        <v>0.61417161428928801</v>
      </c>
      <c r="M46" s="2" cm="1">
        <f t="array" aca="1" ref="M46" ca="1">thm_b(C46,qi,Di,bi,bf,telf,bterm,tterm)</f>
        <v>2</v>
      </c>
      <c r="N46" s="2" cm="1">
        <f t="array" aca="1" ref="N46" ca="1">thm_monthly_vol(C46,qi,Di,bi,bf,telf,bterm,tterm)</f>
        <v>14.328876247821633</v>
      </c>
      <c r="O46" s="2" cm="1">
        <f t="array" aca="1" ref="O46" ca="1">thm_cum($C46,qi,Di,bi,bf,telf,bterm,tterm)</f>
        <v>1.0539090972625242</v>
      </c>
      <c r="Q46" cm="1">
        <f t="array" aca="1" ref="Q46" ca="1">thm_rate(C46,$F$3,$F$4,$F$5,$F$6,$F$7,$F$8,$F$9)</f>
        <v>251.3325782599394</v>
      </c>
      <c r="R46" s="2" cm="1">
        <f t="array" aca="1" ref="R46" ca="1">thm_cum($C46,$F$3,$F$4,$F$5,$F$6,$F$7,$F$8,$F$9)*$P$3/thm_cum($P$2,$F$3,$F$4,$F$5,$F$6,$F$7,$F$8,$F$9)</f>
        <v>0.55997362122463157</v>
      </c>
      <c r="T46" s="2" cm="1">
        <f t="array" ref="T46">DaysPerMonth+T45</f>
        <v>410.90625</v>
      </c>
      <c r="U46" s="2">
        <f t="shared" ca="1" si="4"/>
        <v>0.54933683912605857</v>
      </c>
      <c r="V46" s="2" t="b">
        <f t="shared" ca="1" si="1"/>
        <v>0</v>
      </c>
      <c r="W46" s="2">
        <f t="shared" ca="1" si="5"/>
        <v>0.13141378898452036</v>
      </c>
      <c r="X46" s="2">
        <f t="shared" ca="1" si="3"/>
        <v>1.1216154795283912</v>
      </c>
      <c r="Y46" s="2">
        <v>1</v>
      </c>
      <c r="Z46" s="2" cm="1">
        <f t="array" aca="1" ref="Z46" ca="1">thm_monthly_vol(T46,qi,Di,bi,bf,telf,bterm,tterm)*X46*Y46</f>
        <v>5.9485112441477623</v>
      </c>
      <c r="AA46" s="2">
        <f t="shared" ca="1" si="6"/>
        <v>96.631586417724677</v>
      </c>
      <c r="AB46" s="2" cm="1">
        <f t="array" aca="1" ref="AB46" ca="1">MAX(1, Z46*1000 / DaysPerMonth * X46)</f>
        <v>219.20138945658545</v>
      </c>
      <c r="AC46" s="2" cm="1">
        <f t="array" aca="1" ref="AC46" ca="1">thm_cum($J$6,qi,Di,bi,bf,telf,bterm,tterm)</f>
        <v>483.89964063591248</v>
      </c>
      <c r="AD46" cm="1">
        <f t="array" aca="1" ref="AD46" ca="1">thm_cum_qf($J$2,qi,Di,bi,bf,telf,bterm,tterm)</f>
        <v>513.52890861553044</v>
      </c>
      <c r="AE46" s="2" cm="1">
        <f t="array" aca="1" ref="AE46" ca="1">thm_eur_t($J$6,T46+DaysPerMonth/2,AA46,qi,Di,bi,bf,telf,bterm,tterm)</f>
        <v>474.37330774533376</v>
      </c>
      <c r="AF46" cm="1">
        <f t="array" aca="1" ref="AF46" ca="1">thm_eur_qf($J$2,T46+DaysPerMonth/2,AA46,qi,Di,bi,bf,telf,bterm,tterm)</f>
        <v>504.00257572495173</v>
      </c>
    </row>
    <row r="47" spans="2:32" x14ac:dyDescent="0.25">
      <c r="B47" s="6" cm="1">
        <f t="array" ref="B47">B46+log_interval</f>
        <v>0.86346940987276699</v>
      </c>
      <c r="C47" s="8">
        <f t="shared" si="2"/>
        <v>2.3713737056616551</v>
      </c>
      <c r="D47" s="6">
        <f ca="1"/>
        <v>466.11898889233845</v>
      </c>
      <c r="E47" s="7">
        <f ca="1"/>
        <v>7.8106959927995512E-3</v>
      </c>
      <c r="F47" s="7">
        <f ca="1"/>
        <v>2</v>
      </c>
      <c r="G47" s="8">
        <f ca="1"/>
        <v>1.1157730432220276</v>
      </c>
      <c r="H47" s="20">
        <f t="shared" ca="1" si="0"/>
        <v>0.98734818683583125</v>
      </c>
      <c r="I47" s="2"/>
      <c r="J47" s="2" cm="1">
        <f t="array" aca="1" ref="J47" ca="1">thm_rate($C47,qi,Di,bi,bf,telf,bterm,tterm)</f>
        <v>466.11898889233845</v>
      </c>
      <c r="K47" s="2" cm="1">
        <f t="array" aca="1" ref="K47" ca="1">thm_D($C47,qi,Di,bi,bf,telf,bterm,tterm)</f>
        <v>7.8106959927995512E-3</v>
      </c>
      <c r="L47" s="3" cm="1">
        <f t="array" aca="1" ref="L47" ca="1">thm_D_eff(C47,qi,Di,bi,bf,telf,bterm,tterm)</f>
        <v>0.61383091304925097</v>
      </c>
      <c r="M47" s="2" cm="1">
        <f t="array" aca="1" ref="M47" ca="1">thm_b(C47,qi,Di,bi,bf,telf,bterm,tterm)</f>
        <v>2</v>
      </c>
      <c r="N47" s="2" cm="1">
        <f t="array" aca="1" ref="N47" ca="1">thm_monthly_vol(C47,qi,Di,bi,bf,telf,bterm,tterm)</f>
        <v>14.321379174437062</v>
      </c>
      <c r="O47" s="2" cm="1">
        <f t="array" aca="1" ref="O47" ca="1">thm_cum($C47,qi,Di,bi,bf,telf,bterm,tterm)</f>
        <v>1.1157730432220276</v>
      </c>
      <c r="Q47" cm="1">
        <f t="array" aca="1" ref="Q47" ca="1">thm_rate(C47,$F$3,$F$4,$F$5,$F$6,$F$7,$F$8,$F$9)</f>
        <v>251.29270361700338</v>
      </c>
      <c r="R47" s="2" cm="1">
        <f t="array" aca="1" ref="R47" ca="1">thm_cum($C47,$F$3,$F$4,$F$5,$F$6,$F$7,$F$8,$F$9)*$P$3/thm_cum($P$2,$F$3,$F$4,$F$5,$F$6,$F$7,$F$8,$F$9)</f>
        <v>0.59310707704953303</v>
      </c>
      <c r="T47" s="2" cm="1">
        <f t="array" ref="T47">DaysPerMonth+T46</f>
        <v>441.34375</v>
      </c>
      <c r="U47" s="2">
        <f t="shared" ca="1" si="4"/>
        <v>0.68324521515678149</v>
      </c>
      <c r="V47" s="2" t="b">
        <f t="shared" ca="1" si="1"/>
        <v>0</v>
      </c>
      <c r="W47" s="2">
        <f t="shared" ca="1" si="5"/>
        <v>3.9427465106900206E-2</v>
      </c>
      <c r="X47" s="2">
        <f t="shared" ca="1" si="3"/>
        <v>0.60600680116296268</v>
      </c>
      <c r="Y47" s="2">
        <v>1</v>
      </c>
      <c r="Z47" s="2" cm="1">
        <f t="array" aca="1" ref="Z47" ca="1">thm_monthly_vol(T47,qi,Di,bi,bf,telf,bterm,tterm)*X47*Y47</f>
        <v>3.1085128881060973</v>
      </c>
      <c r="AA47" s="2">
        <f t="shared" ca="1" si="6"/>
        <v>99.740099305830768</v>
      </c>
      <c r="AB47" s="2" cm="1">
        <f t="array" aca="1" ref="AB47" ca="1">MAX(1, Z47*1000 / DaysPerMonth * X47)</f>
        <v>61.890101082382543</v>
      </c>
      <c r="AC47" s="2" cm="1">
        <f t="array" aca="1" ref="AC47" ca="1">thm_cum($J$6,qi,Di,bi,bf,telf,bterm,tterm)</f>
        <v>483.89964063591248</v>
      </c>
      <c r="AD47" cm="1">
        <f t="array" aca="1" ref="AD47" ca="1">thm_cum_qf($J$2,qi,Di,bi,bf,telf,bterm,tterm)</f>
        <v>513.52890861553044</v>
      </c>
      <c r="AE47" s="2" cm="1">
        <f t="array" aca="1" ref="AE47" ca="1">thm_eur_t($J$6,T47+DaysPerMonth/2,AA47,qi,Di,bi,bf,telf,bterm,tterm)</f>
        <v>472.4340088838502</v>
      </c>
      <c r="AF47" cm="1">
        <f t="array" aca="1" ref="AF47" ca="1">thm_eur_qf($J$2,T47+DaysPerMonth/2,AA47,qi,Di,bi,bf,telf,bterm,tterm)</f>
        <v>502.06327686346816</v>
      </c>
    </row>
    <row r="48" spans="2:32" x14ac:dyDescent="0.25">
      <c r="B48" s="6" cm="1">
        <f t="array" ref="B48">B47+log_interval</f>
        <v>0.92103403719761812</v>
      </c>
      <c r="C48" s="8">
        <f t="shared" si="2"/>
        <v>2.5118864315095797</v>
      </c>
      <c r="D48" s="6">
        <f ca="1"/>
        <v>465.60826291438036</v>
      </c>
      <c r="E48" s="7">
        <f ca="1"/>
        <v>7.7935890308233101E-3</v>
      </c>
      <c r="F48" s="7">
        <f ca="1"/>
        <v>2</v>
      </c>
      <c r="G48" s="8">
        <f ca="1"/>
        <v>1.181232791502538</v>
      </c>
      <c r="H48" s="20">
        <f t="shared" ca="1" si="0"/>
        <v>1.0452735545153145</v>
      </c>
      <c r="I48" s="2"/>
      <c r="J48" s="2" cm="1">
        <f t="array" aca="1" ref="J48" ca="1">thm_rate($C48,qi,Di,bi,bf,telf,bterm,tterm)</f>
        <v>465.60826291438036</v>
      </c>
      <c r="K48" s="2" cm="1">
        <f t="array" aca="1" ref="K48" ca="1">thm_D($C48,qi,Di,bi,bf,telf,bterm,tterm)</f>
        <v>7.7935890308233101E-3</v>
      </c>
      <c r="L48" s="3" cm="1">
        <f t="array" aca="1" ref="L48" ca="1">thm_D_eff(C48,qi,Di,bi,bf,telf,bterm,tterm)</f>
        <v>0.61347058078001337</v>
      </c>
      <c r="M48" s="2" cm="1">
        <f t="array" aca="1" ref="M48" ca="1">thm_b(C48,qi,Di,bi,bf,telf,bterm,tterm)</f>
        <v>2</v>
      </c>
      <c r="N48" s="2" cm="1">
        <f t="array" aca="1" ref="N48" ca="1">thm_monthly_vol(C48,qi,Di,bi,bf,telf,bterm,tterm)</f>
        <v>14.313454876123201</v>
      </c>
      <c r="O48" s="2" cm="1">
        <f t="array" aca="1" ref="O48" ca="1">thm_cum($C48,qi,Di,bi,bf,telf,bterm,tterm)</f>
        <v>1.181232791502538</v>
      </c>
      <c r="Q48" cm="1">
        <f t="array" aca="1" ref="Q48" ca="1">thm_rate(C48,$F$3,$F$4,$F$5,$F$6,$F$7,$F$8,$F$9)</f>
        <v>251.25047860159174</v>
      </c>
      <c r="R48" s="2" cm="1">
        <f t="array" aca="1" ref="R48" ca="1">thm_cum($C48,$F$3,$F$4,$F$5,$F$6,$F$7,$F$8,$F$9)*$P$3/thm_cum($P$2,$F$3,$F$4,$F$5,$F$6,$F$7,$F$8,$F$9)</f>
        <v>0.62819808078417261</v>
      </c>
      <c r="T48" s="2" cm="1">
        <f t="array" ref="T48">DaysPerMonth+T47</f>
        <v>471.78125</v>
      </c>
      <c r="U48" s="2">
        <f t="shared" ca="1" si="4"/>
        <v>0.71856433294119171</v>
      </c>
      <c r="V48" s="2" t="b">
        <f t="shared" ca="1" si="1"/>
        <v>0</v>
      </c>
      <c r="W48" s="2">
        <f t="shared" ca="1" si="5"/>
        <v>6.5748567505379774E-2</v>
      </c>
      <c r="X48" s="2">
        <f t="shared" ca="1" si="3"/>
        <v>0.69874986667237082</v>
      </c>
      <c r="Y48" s="2">
        <v>1</v>
      </c>
      <c r="Z48" s="2" cm="1">
        <f t="array" aca="1" ref="Z48" ca="1">thm_monthly_vol(T48,qi,Di,bi,bf,telf,bterm,tterm)*X48*Y48</f>
        <v>3.4723438159727786</v>
      </c>
      <c r="AA48" s="2">
        <f t="shared" ca="1" si="6"/>
        <v>103.21244312180355</v>
      </c>
      <c r="AB48" s="2" cm="1">
        <f t="array" aca="1" ref="AB48" ca="1">MAX(1, Z48*1000 / DaysPerMonth * X48)</f>
        <v>79.7141610990262</v>
      </c>
      <c r="AC48" s="2" cm="1">
        <f t="array" aca="1" ref="AC48" ca="1">thm_cum($J$6,qi,Di,bi,bf,telf,bterm,tterm)</f>
        <v>483.89964063591248</v>
      </c>
      <c r="AD48" cm="1">
        <f t="array" aca="1" ref="AD48" ca="1">thm_cum_qf($J$2,qi,Di,bi,bf,telf,bterm,tterm)</f>
        <v>513.52890861553044</v>
      </c>
      <c r="AE48" s="2" cm="1">
        <f t="array" aca="1" ref="AE48" ca="1">thm_eur_t($J$6,T48+DaysPerMonth/2,AA48,qi,Di,bi,bf,telf,bterm,tterm)</f>
        <v>471.01239074662988</v>
      </c>
      <c r="AF48" cm="1">
        <f t="array" aca="1" ref="AF48" ca="1">thm_eur_qf($J$2,T48+DaysPerMonth/2,AA48,qi,Di,bi,bf,telf,bterm,tterm)</f>
        <v>500.6416587262479</v>
      </c>
    </row>
    <row r="49" spans="2:32" x14ac:dyDescent="0.25">
      <c r="B49" s="6" cm="1">
        <f t="array" ref="B49">B48+log_interval</f>
        <v>0.97859866452246924</v>
      </c>
      <c r="C49" s="8">
        <f t="shared" si="2"/>
        <v>2.6607250597988092</v>
      </c>
      <c r="D49" s="6">
        <f ca="1"/>
        <v>465.06910128501795</v>
      </c>
      <c r="E49" s="7">
        <f ca="1"/>
        <v>7.7755499555232791E-3</v>
      </c>
      <c r="F49" s="7">
        <f ca="1"/>
        <v>2</v>
      </c>
      <c r="G49" s="8">
        <f ca="1"/>
        <v>1.2504931393914489</v>
      </c>
      <c r="H49" s="20">
        <f t="shared" ca="1" si="0"/>
        <v>1.1065620749031719</v>
      </c>
      <c r="I49" s="2"/>
      <c r="J49" s="2" cm="1">
        <f t="array" aca="1" ref="J49" ca="1">thm_rate($C49,qi,Di,bi,bf,telf,bterm,tterm)</f>
        <v>465.06910128501795</v>
      </c>
      <c r="K49" s="2" cm="1">
        <f t="array" aca="1" ref="K49" ca="1">thm_D($C49,qi,Di,bi,bf,telf,bterm,tterm)</f>
        <v>7.7755499555232791E-3</v>
      </c>
      <c r="L49" s="3" cm="1">
        <f t="array" aca="1" ref="L49" ca="1">thm_D_eff(C49,qi,Di,bi,bf,telf,bterm,tterm)</f>
        <v>0.61308952020867846</v>
      </c>
      <c r="M49" s="2" cm="1">
        <f t="array" aca="1" ref="M49" ca="1">thm_b(C49,qi,Di,bi,bf,telf,bterm,tterm)</f>
        <v>2</v>
      </c>
      <c r="N49" s="2" cm="1">
        <f t="array" aca="1" ref="N49" ca="1">thm_monthly_vol(C49,qi,Di,bi,bf,telf,bterm,tterm)</f>
        <v>14.305080034502053</v>
      </c>
      <c r="O49" s="2" cm="1">
        <f t="array" aca="1" ref="O49" ca="1">thm_cum($C49,qi,Di,bi,bf,telf,bterm,tterm)</f>
        <v>1.2504931393914489</v>
      </c>
      <c r="Q49" cm="1">
        <f t="array" aca="1" ref="Q49" ca="1">thm_rate(C49,$F$3,$F$4,$F$5,$F$6,$F$7,$F$8,$F$9)</f>
        <v>251.20576544613181</v>
      </c>
      <c r="R49" s="2" cm="1">
        <f t="array" aca="1" ref="R49" ca="1">thm_cum($C49,$F$3,$F$4,$F$5,$F$6,$F$7,$F$8,$F$9)*$P$3/thm_cum($P$2,$F$3,$F$4,$F$5,$F$6,$F$7,$F$8,$F$9)</f>
        <v>0.66536192686651152</v>
      </c>
      <c r="T49" s="2" cm="1">
        <f t="array" ref="T49">DaysPerMonth+T48</f>
        <v>502.21875</v>
      </c>
      <c r="U49" s="2">
        <f t="shared" ca="1" si="4"/>
        <v>0.91611032151863714</v>
      </c>
      <c r="V49" s="2" t="b">
        <f t="shared" ca="1" si="1"/>
        <v>0</v>
      </c>
      <c r="W49" s="2">
        <f t="shared" ca="1" si="5"/>
        <v>0.31052244283814545</v>
      </c>
      <c r="X49" s="2">
        <f t="shared" ca="1" si="3"/>
        <v>0.92214966480193494</v>
      </c>
      <c r="Y49" s="2">
        <v>1</v>
      </c>
      <c r="Z49" s="2" cm="1">
        <f t="array" aca="1" ref="Z49" ca="1">thm_monthly_vol(T49,qi,Di,bi,bf,telf,bterm,tterm)*X49*Y49</f>
        <v>4.4460655658241324</v>
      </c>
      <c r="AA49" s="2">
        <f t="shared" ca="1" si="6"/>
        <v>107.65850868762767</v>
      </c>
      <c r="AB49" s="2" cm="1">
        <f t="array" aca="1" ref="AB49" ca="1">MAX(1, Z49*1000 / DaysPerMonth * X49)</f>
        <v>134.70021753469072</v>
      </c>
      <c r="AC49" s="2" cm="1">
        <f t="array" aca="1" ref="AC49" ca="1">thm_cum($J$6,qi,Di,bi,bf,telf,bterm,tterm)</f>
        <v>483.89964063591248</v>
      </c>
      <c r="AD49" cm="1">
        <f t="array" aca="1" ref="AD49" ca="1">thm_cum_qf($J$2,qi,Di,bi,bf,telf,bterm,tterm)</f>
        <v>513.52890861553044</v>
      </c>
      <c r="AE49" s="2" cm="1">
        <f t="array" aca="1" ref="AE49" ca="1">thm_eur_t($J$6,T49+DaysPerMonth/2,AA49,qi,Di,bi,bf,telf,bterm,tterm)</f>
        <v>470.70690350016662</v>
      </c>
      <c r="AF49" cm="1">
        <f t="array" aca="1" ref="AF49" ca="1">thm_eur_qf($J$2,T49+DaysPerMonth/2,AA49,qi,Di,bi,bf,telf,bterm,tterm)</f>
        <v>500.33617147978458</v>
      </c>
    </row>
    <row r="50" spans="2:32" x14ac:dyDescent="0.25">
      <c r="B50" s="6" cm="1">
        <f t="array" ref="B50">B49+log_interval</f>
        <v>1.0361632918473205</v>
      </c>
      <c r="C50" s="8">
        <f t="shared" si="2"/>
        <v>2.8183829312644537</v>
      </c>
      <c r="D50" s="6">
        <f ca="1"/>
        <v>464.50003013360089</v>
      </c>
      <c r="E50" s="7">
        <f ca="1"/>
        <v>7.7565328504259476E-3</v>
      </c>
      <c r="F50" s="7">
        <f ca="1"/>
        <v>2</v>
      </c>
      <c r="G50" s="8">
        <f ca="1"/>
        <v>1.3237700572489435</v>
      </c>
      <c r="H50" s="20">
        <f t="shared" ca="1" si="0"/>
        <v>1.1714048602913099</v>
      </c>
      <c r="I50" s="2"/>
      <c r="J50" s="2" cm="1">
        <f t="array" aca="1" ref="J50" ca="1">thm_rate($C50,qi,Di,bi,bf,telf,bterm,tterm)</f>
        <v>464.50003013360089</v>
      </c>
      <c r="K50" s="2" cm="1">
        <f t="array" aca="1" ref="K50" ca="1">thm_D($C50,qi,Di,bi,bf,telf,bterm,tterm)</f>
        <v>7.7565328504259476E-3</v>
      </c>
      <c r="L50" s="3" cm="1">
        <f t="array" aca="1" ref="L50" ca="1">thm_D_eff(C50,qi,Di,bi,bf,telf,bterm,tterm)</f>
        <v>0.61268657672652138</v>
      </c>
      <c r="M50" s="2" cm="1">
        <f t="array" aca="1" ref="M50" ca="1">thm_b(C50,qi,Di,bi,bf,telf,bterm,tterm)</f>
        <v>2</v>
      </c>
      <c r="N50" s="2" cm="1">
        <f t="array" aca="1" ref="N50" ca="1">thm_monthly_vol(C50,qi,Di,bi,bf,telf,bterm,tterm)</f>
        <v>14.296230178855716</v>
      </c>
      <c r="O50" s="2" cm="1">
        <f t="array" aca="1" ref="O50" ca="1">thm_cum($C50,qi,Di,bi,bf,telf,bterm,tterm)</f>
        <v>1.3237700572489435</v>
      </c>
      <c r="Q50" cm="1">
        <f t="array" aca="1" ref="Q50" ca="1">thm_rate(C50,$F$3,$F$4,$F$5,$F$6,$F$7,$F$8,$F$9)</f>
        <v>251.15841840179891</v>
      </c>
      <c r="R50" s="2" cm="1">
        <f t="array" aca="1" ref="R50" ca="1">thm_cum($C50,$F$3,$F$4,$F$5,$F$6,$F$7,$F$8,$F$9)*$P$3/thm_cum($P$2,$F$3,$F$4,$F$5,$F$6,$F$7,$F$8,$F$9)</f>
        <v>0.70472065660754168</v>
      </c>
      <c r="T50" s="2" cm="1">
        <f t="array" ref="T50">DaysPerMonth+T49</f>
        <v>532.65625</v>
      </c>
      <c r="U50" s="2">
        <f t="shared" ca="1" si="4"/>
        <v>0.6832894565580756</v>
      </c>
      <c r="V50" s="2" t="b">
        <f t="shared" ca="1" si="1"/>
        <v>0</v>
      </c>
      <c r="W50" s="2">
        <f t="shared" ca="1" si="5"/>
        <v>0.26451365879601052</v>
      </c>
      <c r="X50" s="2">
        <f t="shared" ca="1" si="3"/>
        <v>0.98840936763443443</v>
      </c>
      <c r="Y50" s="2">
        <v>1</v>
      </c>
      <c r="Z50" s="2" cm="1">
        <f t="array" aca="1" ref="Z50" ca="1">thm_monthly_vol(T50,qi,Di,bi,bf,telf,bterm,tterm)*X50*Y50</f>
        <v>4.6299279605419636</v>
      </c>
      <c r="AA50" s="2">
        <f t="shared" ca="1" si="6"/>
        <v>112.28843664816964</v>
      </c>
      <c r="AB50" s="2" cm="1">
        <f t="array" aca="1" ref="AB50" ca="1">MAX(1, Z50*1000 / DaysPerMonth * X50)</f>
        <v>150.34954144303143</v>
      </c>
      <c r="AC50" s="2" cm="1">
        <f t="array" aca="1" ref="AC50" ca="1">thm_cum($J$6,qi,Di,bi,bf,telf,bterm,tterm)</f>
        <v>483.89964063591248</v>
      </c>
      <c r="AD50" cm="1">
        <f t="array" aca="1" ref="AD50" ca="1">thm_cum_qf($J$2,qi,Di,bi,bf,telf,bterm,tterm)</f>
        <v>513.52890861553044</v>
      </c>
      <c r="AE50" s="2" cm="1">
        <f t="array" aca="1" ref="AE50" ca="1">thm_eur_t($J$6,T50+DaysPerMonth/2,AA50,qi,Di,bi,bf,telf,bterm,tterm)</f>
        <v>470.71755667597182</v>
      </c>
      <c r="AF50" cm="1">
        <f t="array" aca="1" ref="AF50" ca="1">thm_eur_qf($J$2,T50+DaysPerMonth/2,AA50,qi,Di,bi,bf,telf,bterm,tterm)</f>
        <v>500.34682465558978</v>
      </c>
    </row>
    <row r="51" spans="2:32" x14ac:dyDescent="0.25">
      <c r="B51" s="6" cm="1">
        <f t="array" ref="B51">B50+log_interval</f>
        <v>1.0937279191721716</v>
      </c>
      <c r="C51" s="8">
        <f t="shared" si="2"/>
        <v>2.9853826189179595</v>
      </c>
      <c r="D51" s="6">
        <f ca="1"/>
        <v>463.89951189199451</v>
      </c>
      <c r="E51" s="7">
        <f ca="1"/>
        <v>7.7364901024773646E-3</v>
      </c>
      <c r="F51" s="7">
        <f ca="1"/>
        <v>2</v>
      </c>
      <c r="G51" s="8">
        <f ca="1"/>
        <v>1.4012912415827179</v>
      </c>
      <c r="H51" s="20">
        <f t="shared" ca="1" si="0"/>
        <v>1.2400033994460935</v>
      </c>
      <c r="I51" s="2"/>
      <c r="J51" s="2" cm="1">
        <f t="array" aca="1" ref="J51" ca="1">thm_rate($C51,qi,Di,bi,bf,telf,bterm,tterm)</f>
        <v>463.89951189199451</v>
      </c>
      <c r="K51" s="2" cm="1">
        <f t="array" aca="1" ref="K51" ca="1">thm_D($C51,qi,Di,bi,bf,telf,bterm,tterm)</f>
        <v>7.7364901024773646E-3</v>
      </c>
      <c r="L51" s="3" cm="1">
        <f t="array" aca="1" ref="L51" ca="1">thm_D_eff(C51,qi,Di,bi,bf,telf,bterm,tterm)</f>
        <v>0.61226053586351803</v>
      </c>
      <c r="M51" s="2" cm="1">
        <f t="array" aca="1" ref="M51" ca="1">thm_b(C51,qi,Di,bi,bf,telf,bterm,tterm)</f>
        <v>2</v>
      </c>
      <c r="N51" s="2" cm="1">
        <f t="array" aca="1" ref="N51" ca="1">thm_monthly_vol(C51,qi,Di,bi,bf,telf,bterm,tterm)</f>
        <v>14.28687964329777</v>
      </c>
      <c r="O51" s="2" cm="1">
        <f t="array" aca="1" ref="O51" ca="1">thm_cum($C51,qi,Di,bi,bf,telf,bterm,tterm)</f>
        <v>1.4012912415827179</v>
      </c>
      <c r="Q51" cm="1">
        <f t="array" aca="1" ref="Q51" ca="1">thm_rate(C51,$F$3,$F$4,$F$5,$F$6,$F$7,$F$8,$F$9)</f>
        <v>251.10828328759234</v>
      </c>
      <c r="R51" s="2" cm="1">
        <f t="array" aca="1" ref="R51" ca="1">thm_cum($C51,$F$3,$F$4,$F$5,$F$6,$F$7,$F$8,$F$9)*$P$3/thm_cum($P$2,$F$3,$F$4,$F$5,$F$6,$F$7,$F$8,$F$9)</f>
        <v>0.74640344769527245</v>
      </c>
      <c r="T51" s="2" cm="1">
        <f t="array" ref="T51">DaysPerMonth+T50</f>
        <v>563.09375</v>
      </c>
      <c r="U51" s="2">
        <f t="shared" ca="1" si="4"/>
        <v>0.4269372207988974</v>
      </c>
      <c r="V51" s="2" t="b">
        <f t="shared" ca="1" si="1"/>
        <v>0</v>
      </c>
      <c r="W51" s="2">
        <f t="shared" ca="1" si="5"/>
        <v>0.35436346448810502</v>
      </c>
      <c r="X51" s="2">
        <f t="shared" ca="1" si="3"/>
        <v>0.96210422652245187</v>
      </c>
      <c r="Y51" s="2">
        <v>1</v>
      </c>
      <c r="Z51" s="2" cm="1">
        <f t="array" aca="1" ref="Z51" ca="1">thm_monthly_vol(T51,qi,Di,bi,bf,telf,bterm,tterm)*X51*Y51</f>
        <v>4.3839057695850263</v>
      </c>
      <c r="AA51" s="2">
        <f t="shared" ca="1" si="6"/>
        <v>116.67234241775466</v>
      </c>
      <c r="AB51" s="2" cm="1">
        <f t="array" aca="1" ref="AB51" ca="1">MAX(1, Z51*1000 / DaysPerMonth * X51)</f>
        <v>138.5716392474387</v>
      </c>
      <c r="AC51" s="2" cm="1">
        <f t="array" aca="1" ref="AC51" ca="1">thm_cum($J$6,qi,Di,bi,bf,telf,bterm,tterm)</f>
        <v>483.89964063591248</v>
      </c>
      <c r="AD51" cm="1">
        <f t="array" aca="1" ref="AD51" ca="1">thm_cum_qf($J$2,qi,Di,bi,bf,telf,bterm,tterm)</f>
        <v>513.52890861553044</v>
      </c>
      <c r="AE51" s="2" cm="1">
        <f t="array" aca="1" ref="AE51" ca="1">thm_eur_t($J$6,T51+DaysPerMonth/2,AA51,qi,Di,bi,bf,telf,bterm,tterm)</f>
        <v>470.60544604818722</v>
      </c>
      <c r="AF51" cm="1">
        <f t="array" aca="1" ref="AF51" ca="1">thm_eur_qf($J$2,T51+DaysPerMonth/2,AA51,qi,Di,bi,bf,telf,bterm,tterm)</f>
        <v>500.23471402780518</v>
      </c>
    </row>
    <row r="52" spans="2:32" x14ac:dyDescent="0.25">
      <c r="B52" s="6" cm="1">
        <f t="array" ref="B52">B51+log_interval</f>
        <v>1.1512925464970227</v>
      </c>
      <c r="C52" s="8">
        <f t="shared" si="2"/>
        <v>3.1622776601683791</v>
      </c>
      <c r="D52" s="6">
        <f ca="1"/>
        <v>463.26594403383643</v>
      </c>
      <c r="E52" s="7">
        <f ca="1"/>
        <v>7.7153724070309453E-3</v>
      </c>
      <c r="F52" s="7">
        <f ca="1"/>
        <v>2</v>
      </c>
      <c r="G52" s="8">
        <f ca="1"/>
        <v>1.4832966890761095</v>
      </c>
      <c r="H52" s="20">
        <f t="shared" ca="1" si="0"/>
        <v>1.3125700655661579</v>
      </c>
      <c r="I52" s="2"/>
      <c r="J52" s="2" cm="1">
        <f t="array" aca="1" ref="J52" ca="1">thm_rate($C52,qi,Di,bi,bf,telf,bterm,tterm)</f>
        <v>463.26594403383643</v>
      </c>
      <c r="K52" s="2" cm="1">
        <f t="array" aca="1" ref="K52" ca="1">thm_D($C52,qi,Di,bi,bf,telf,bterm,tterm)</f>
        <v>7.7153724070309453E-3</v>
      </c>
      <c r="L52" s="3" cm="1">
        <f t="array" aca="1" ref="L52" ca="1">thm_D_eff(C52,qi,Di,bi,bf,telf,bterm,tterm)</f>
        <v>0.61181012070807683</v>
      </c>
      <c r="M52" s="2" cm="1">
        <f t="array" aca="1" ref="M52" ca="1">thm_b(C52,qi,Di,bi,bf,telf,bterm,tterm)</f>
        <v>2</v>
      </c>
      <c r="N52" s="2" cm="1">
        <f t="array" aca="1" ref="N52" ca="1">thm_monthly_vol(C52,qi,Di,bi,bf,telf,bterm,tterm)</f>
        <v>14.277001524069247</v>
      </c>
      <c r="O52" s="2" cm="1">
        <f t="array" aca="1" ref="O52" ca="1">thm_cum($C52,qi,Di,bi,bf,telf,bterm,tterm)</f>
        <v>1.4832966890761095</v>
      </c>
      <c r="Q52" cm="1">
        <f t="array" aca="1" ref="Q52" ca="1">thm_rate(C52,$F$3,$F$4,$F$5,$F$6,$F$7,$F$8,$F$9)</f>
        <v>251.05519701533589</v>
      </c>
      <c r="R52" s="2" cm="1">
        <f t="array" aca="1" ref="R52" ca="1">thm_cum($C52,$F$3,$F$4,$F$5,$F$6,$F$7,$F$8,$F$9)*$P$3/thm_cum($P$2,$F$3,$F$4,$F$5,$F$6,$F$7,$F$8,$F$9)</f>
        <v>0.79054702553837142</v>
      </c>
      <c r="T52" s="2" cm="1">
        <f t="array" ref="T52">DaysPerMonth+T51</f>
        <v>593.53125</v>
      </c>
      <c r="U52" s="2">
        <f t="shared" ca="1" si="4"/>
        <v>0.18055630479349793</v>
      </c>
      <c r="V52" s="2" t="b">
        <f t="shared" ca="1" si="1"/>
        <v>0</v>
      </c>
      <c r="W52" s="2">
        <f t="shared" ca="1" si="5"/>
        <v>0.6718512860643191</v>
      </c>
      <c r="X52" s="2">
        <f t="shared" ca="1" si="3"/>
        <v>1.0340257831095458</v>
      </c>
      <c r="Y52" s="2">
        <v>1</v>
      </c>
      <c r="Z52" s="2" cm="1">
        <f t="array" aca="1" ref="Z52" ca="1">thm_monthly_vol(T52,qi,Di,bi,bf,telf,bterm,tterm)*X52*Y52</f>
        <v>4.5884554939739166</v>
      </c>
      <c r="AA52" s="2">
        <f t="shared" ca="1" si="6"/>
        <v>121.26079791172857</v>
      </c>
      <c r="AB52" s="2" cm="1">
        <f t="array" aca="1" ref="AB52" ca="1">MAX(1, Z52*1000 / DaysPerMonth * X52)</f>
        <v>155.87946728278197</v>
      </c>
      <c r="AC52" s="2" cm="1">
        <f t="array" aca="1" ref="AC52" ca="1">thm_cum($J$6,qi,Di,bi,bf,telf,bterm,tterm)</f>
        <v>483.89964063591248</v>
      </c>
      <c r="AD52" cm="1">
        <f t="array" aca="1" ref="AD52" ca="1">thm_cum_qf($J$2,qi,Di,bi,bf,telf,bterm,tterm)</f>
        <v>513.52890861553044</v>
      </c>
      <c r="AE52" s="2" cm="1">
        <f t="array" aca="1" ref="AE52" ca="1">thm_eur_t($J$6,T52+DaysPerMonth/2,AA52,qi,Di,bi,bf,telf,bterm,tterm)</f>
        <v>470.81307396196388</v>
      </c>
      <c r="AF52" cm="1">
        <f t="array" aca="1" ref="AF52" ca="1">thm_eur_qf($J$2,T52+DaysPerMonth/2,AA52,qi,Di,bi,bf,telf,bterm,tterm)</f>
        <v>500.44234194158184</v>
      </c>
    </row>
    <row r="53" spans="2:32" x14ac:dyDescent="0.25">
      <c r="B53" s="6" cm="1">
        <f t="array" ref="B53">B52+log_interval</f>
        <v>1.2088571738218739</v>
      </c>
      <c r="C53" s="8">
        <f t="shared" si="2"/>
        <v>3.3496543915782762</v>
      </c>
      <c r="D53" s="6">
        <f ca="1"/>
        <v>462.59765798290852</v>
      </c>
      <c r="E53" s="7">
        <f ca="1"/>
        <v>7.6931287827571027E-3</v>
      </c>
      <c r="F53" s="7">
        <f ca="1"/>
        <v>2</v>
      </c>
      <c r="G53" s="8">
        <f ca="1"/>
        <v>1.5700392916225678</v>
      </c>
      <c r="H53" s="20">
        <f t="shared" ca="1" si="0"/>
        <v>1.3893286428287424</v>
      </c>
      <c r="I53" s="2"/>
      <c r="J53" s="2" cm="1">
        <f t="array" aca="1" ref="J53" ca="1">thm_rate($C53,qi,Di,bi,bf,telf,bterm,tterm)</f>
        <v>462.59765798290852</v>
      </c>
      <c r="K53" s="2" cm="1">
        <f t="array" aca="1" ref="K53" ca="1">thm_D($C53,qi,Di,bi,bf,telf,bterm,tterm)</f>
        <v>7.6931287827571027E-3</v>
      </c>
      <c r="L53" s="3" cm="1">
        <f t="array" aca="1" ref="L53" ca="1">thm_D_eff(C53,qi,Di,bi,bf,telf,bterm,tterm)</f>
        <v>0.61133398927831417</v>
      </c>
      <c r="M53" s="2" cm="1">
        <f t="array" aca="1" ref="M53" ca="1">thm_b(C53,qi,Di,bi,bf,telf,bterm,tterm)</f>
        <v>2</v>
      </c>
      <c r="N53" s="2" cm="1">
        <f t="array" aca="1" ref="N53" ca="1">thm_monthly_vol(C53,qi,Di,bi,bf,telf,bterm,tterm)</f>
        <v>14.266567637219829</v>
      </c>
      <c r="O53" s="2" cm="1">
        <f t="array" aca="1" ref="O53" ca="1">thm_cum($C53,qi,Di,bi,bf,telf,bterm,tterm)</f>
        <v>1.5700392916225678</v>
      </c>
      <c r="Q53" cm="1">
        <f t="array" aca="1" ref="Q53" ca="1">thm_rate(C53,$F$3,$F$4,$F$5,$F$6,$F$7,$F$8,$F$9)</f>
        <v>250.99898708949218</v>
      </c>
      <c r="R53" s="2" cm="1">
        <f t="array" aca="1" ref="R53" ca="1">thm_cum($C53,$F$3,$F$4,$F$5,$F$6,$F$7,$F$8,$F$9)*$P$3/thm_cum($P$2,$F$3,$F$4,$F$5,$F$6,$F$7,$F$8,$F$9)</f>
        <v>0.83729609759338852</v>
      </c>
      <c r="T53" s="2" cm="1">
        <f t="array" ref="T53">DaysPerMonth+T52</f>
        <v>623.96875</v>
      </c>
      <c r="U53" s="2">
        <f t="shared" ca="1" si="4"/>
        <v>0.28072208670879639</v>
      </c>
      <c r="V53" s="2" t="b">
        <f t="shared" ca="1" si="1"/>
        <v>0</v>
      </c>
      <c r="W53" s="2">
        <f t="shared" ca="1" si="5"/>
        <v>0.29872358320423104</v>
      </c>
      <c r="X53" s="2">
        <f t="shared" ca="1" si="3"/>
        <v>0.95868279215792451</v>
      </c>
      <c r="Y53" s="2">
        <v>1</v>
      </c>
      <c r="Z53" s="2" cm="1">
        <f t="array" aca="1" ref="Z53" ca="1">thm_monthly_vol(T53,qi,Di,bi,bf,telf,bterm,tterm)*X53*Y53</f>
        <v>4.1472610849314604</v>
      </c>
      <c r="AA53" s="2">
        <f t="shared" ca="1" si="6"/>
        <v>125.40805899666003</v>
      </c>
      <c r="AB53" s="2" cm="1">
        <f t="array" aca="1" ref="AB53" ca="1">MAX(1, Z53*1000 / DaysPerMonth * X53)</f>
        <v>130.62530880361382</v>
      </c>
      <c r="AC53" s="2" cm="1">
        <f t="array" aca="1" ref="AC53" ca="1">thm_cum($J$6,qi,Di,bi,bf,telf,bterm,tterm)</f>
        <v>483.89964063591248</v>
      </c>
      <c r="AD53" cm="1">
        <f t="array" aca="1" ref="AD53" ca="1">thm_cum_qf($J$2,qi,Di,bi,bf,telf,bterm,tterm)</f>
        <v>513.52890861553044</v>
      </c>
      <c r="AE53" s="2" cm="1">
        <f t="array" aca="1" ref="AE53" ca="1">thm_eur_t($J$6,T53+DaysPerMonth/2,AA53,qi,Di,bi,bf,telf,bterm,tterm)</f>
        <v>470.68744411197588</v>
      </c>
      <c r="AF53" cm="1">
        <f t="array" aca="1" ref="AF53" ca="1">thm_eur_qf($J$2,T53+DaysPerMonth/2,AA53,qi,Di,bi,bf,telf,bterm,tterm)</f>
        <v>500.3167120915939</v>
      </c>
    </row>
    <row r="54" spans="2:32" x14ac:dyDescent="0.25">
      <c r="B54" s="6" cm="1">
        <f t="array" ref="B54">B53+log_interval</f>
        <v>1.266421801146725</v>
      </c>
      <c r="C54" s="8">
        <f t="shared" si="2"/>
        <v>3.5481338923357542</v>
      </c>
      <c r="D54" s="6">
        <f ca="1"/>
        <v>461.89291822017924</v>
      </c>
      <c r="E54" s="7">
        <f ca="1"/>
        <v>7.6697065977222294E-3</v>
      </c>
      <c r="F54" s="7">
        <f ca="1"/>
        <v>2</v>
      </c>
      <c r="G54" s="8">
        <f ca="1"/>
        <v>1.6617854523185271</v>
      </c>
      <c r="H54" s="20">
        <f t="shared" ca="1" si="0"/>
        <v>1.470514871482125</v>
      </c>
      <c r="I54" s="2"/>
      <c r="J54" s="2" cm="1">
        <f t="array" aca="1" ref="J54" ca="1">thm_rate($C54,qi,Di,bi,bf,telf,bterm,tterm)</f>
        <v>461.89291822017924</v>
      </c>
      <c r="K54" s="2" cm="1">
        <f t="array" aca="1" ref="K54" ca="1">thm_D($C54,qi,Di,bi,bf,telf,bterm,tterm)</f>
        <v>7.6697065977222294E-3</v>
      </c>
      <c r="L54" s="3" cm="1">
        <f t="array" aca="1" ref="L54" ca="1">thm_D_eff(C54,qi,Di,bi,bf,telf,bterm,tterm)</f>
        <v>0.61083073185243442</v>
      </c>
      <c r="M54" s="2" cm="1">
        <f t="array" aca="1" ref="M54" ca="1">thm_b(C54,qi,Di,bi,bf,telf,bterm,tterm)</f>
        <v>2</v>
      </c>
      <c r="N54" s="2" cm="1">
        <f t="array" aca="1" ref="N54" ca="1">thm_monthly_vol(C54,qi,Di,bi,bf,telf,bterm,tterm)</f>
        <v>14.25554847696227</v>
      </c>
      <c r="O54" s="2" cm="1">
        <f t="array" aca="1" ref="O54" ca="1">thm_cum($C54,qi,Di,bi,bf,telf,bterm,tterm)</f>
        <v>1.6617854523185271</v>
      </c>
      <c r="Q54" cm="1">
        <f t="array" aca="1" ref="Q54" ca="1">thm_rate(C54,$F$3,$F$4,$F$5,$F$6,$F$7,$F$8,$F$9)</f>
        <v>250.93947108065083</v>
      </c>
      <c r="R54" s="2" cm="1">
        <f t="array" aca="1" ref="R54" ca="1">thm_cum($C54,$F$3,$F$4,$F$5,$F$6,$F$7,$F$8,$F$9)*$P$3/thm_cum($P$2,$F$3,$F$4,$F$5,$F$6,$F$7,$F$8,$F$9)</f>
        <v>0.88680381187094459</v>
      </c>
      <c r="T54" s="2" cm="1">
        <f t="array" ref="T54">DaysPerMonth+T53</f>
        <v>654.40625</v>
      </c>
      <c r="U54" s="2">
        <f t="shared" ca="1" si="4"/>
        <v>6.0195475708810786E-3</v>
      </c>
      <c r="V54" s="2" t="b">
        <f t="shared" ca="1" si="1"/>
        <v>1</v>
      </c>
      <c r="W54" s="2">
        <f t="shared" ca="1" si="5"/>
        <v>0.27098205574585543</v>
      </c>
      <c r="X54" s="2">
        <f t="shared" ca="1" si="3"/>
        <v>4.543553593231954E-2</v>
      </c>
      <c r="Y54" s="2">
        <v>1</v>
      </c>
      <c r="Z54" s="2" cm="1">
        <f t="array" aca="1" ref="Z54" ca="1">thm_monthly_vol(T54,qi,Di,bi,bf,telf,bterm,tterm)*X54*Y54</f>
        <v>0.19180235838645754</v>
      </c>
      <c r="AA54" s="2">
        <f t="shared" ca="1" si="6"/>
        <v>125.59986135504649</v>
      </c>
      <c r="AB54" s="2" cm="1">
        <f t="array" aca="1" ref="AB54" ca="1">MAX(1, Z54*1000 / DaysPerMonth * X54)</f>
        <v>1</v>
      </c>
      <c r="AC54" s="2" cm="1">
        <f t="array" aca="1" ref="AC54" ca="1">thm_cum($J$6,qi,Di,bi,bf,telf,bterm,tterm)</f>
        <v>483.89964063591248</v>
      </c>
      <c r="AD54" cm="1">
        <f t="array" aca="1" ref="AD54" ca="1">thm_cum_qf($J$2,qi,Di,bi,bf,telf,bterm,tterm)</f>
        <v>513.52890861553044</v>
      </c>
      <c r="AE54" s="2" cm="1">
        <f t="array" aca="1" ref="AE54" ca="1">thm_eur_t($J$6,T54+DaysPerMonth/2,AA54,qi,Di,bi,bf,telf,bterm,tterm)</f>
        <v>466.70774747949281</v>
      </c>
      <c r="AF54" cm="1">
        <f t="array" aca="1" ref="AF54" ca="1">thm_eur_qf($J$2,T54+DaysPerMonth/2,AA54,qi,Di,bi,bf,telf,bterm,tterm)</f>
        <v>496.33701545911077</v>
      </c>
    </row>
    <row r="55" spans="2:32" x14ac:dyDescent="0.25">
      <c r="B55" s="6" cm="1">
        <f t="array" ref="B55">B54+log_interval</f>
        <v>1.3239864284715761</v>
      </c>
      <c r="C55" s="8">
        <f t="shared" si="2"/>
        <v>3.7583740428844412</v>
      </c>
      <c r="D55" s="6">
        <f ca="1"/>
        <v>461.14992162164867</v>
      </c>
      <c r="E55" s="7">
        <f ca="1"/>
        <v>7.6450516079638086E-3</v>
      </c>
      <c r="F55" s="7">
        <f ca="1"/>
        <v>2</v>
      </c>
      <c r="G55" s="8">
        <f ca="1"/>
        <v>1.7588157222550098</v>
      </c>
      <c r="H55" s="20">
        <f t="shared" ca="1" si="0"/>
        <v>1.5563770113428688</v>
      </c>
      <c r="I55" s="2"/>
      <c r="J55" s="2" cm="1">
        <f t="array" aca="1" ref="J55" ca="1">thm_rate($C55,qi,Di,bi,bf,telf,bterm,tterm)</f>
        <v>461.14992162164867</v>
      </c>
      <c r="K55" s="2" cm="1">
        <f t="array" aca="1" ref="K55" ca="1">thm_D($C55,qi,Di,bi,bf,telf,bterm,tterm)</f>
        <v>7.6450516079638086E-3</v>
      </c>
      <c r="L55" s="3" cm="1">
        <f t="array" aca="1" ref="L55" ca="1">thm_D_eff(C55,qi,Di,bi,bf,telf,bterm,tterm)</f>
        <v>0.61029886826711266</v>
      </c>
      <c r="M55" s="2" cm="1">
        <f t="array" aca="1" ref="M55" ca="1">thm_b(C55,qi,Di,bi,bf,telf,bterm,tterm)</f>
        <v>2</v>
      </c>
      <c r="N55" s="2" cm="1">
        <f t="array" aca="1" ref="N55" ca="1">thm_monthly_vol(C55,qi,Di,bi,bf,telf,bterm,tterm)</f>
        <v>14.243913175031171</v>
      </c>
      <c r="O55" s="2" cm="1">
        <f t="array" aca="1" ref="O55" ca="1">thm_cum($C55,qi,Di,bi,bf,telf,bterm,tterm)</f>
        <v>1.7588157222550098</v>
      </c>
      <c r="Q55" cm="1">
        <f t="array" aca="1" ref="Q55" ca="1">thm_rate(C55,$F$3,$F$4,$F$5,$F$6,$F$7,$F$8,$F$9)</f>
        <v>250.8764560715245</v>
      </c>
      <c r="R55" s="2" cm="1">
        <f t="array" aca="1" ref="R55" ca="1">thm_cum($C55,$F$3,$F$4,$F$5,$F$6,$F$7,$F$8,$F$9)*$P$3/thm_cum($P$2,$F$3,$F$4,$F$5,$F$6,$F$7,$F$8,$F$9)</f>
        <v>0.93923224086736012</v>
      </c>
      <c r="T55" s="2" cm="1">
        <f t="array" ref="T55">DaysPerMonth+T54</f>
        <v>684.84375</v>
      </c>
      <c r="U55" s="2">
        <f t="shared" ca="1" si="4"/>
        <v>6.5213827161177282E-2</v>
      </c>
      <c r="V55" s="2" t="b">
        <f t="shared" ca="1" si="1"/>
        <v>0</v>
      </c>
      <c r="W55" s="2">
        <f t="shared" ca="1" si="5"/>
        <v>0.52429460627511926</v>
      </c>
      <c r="X55" s="2">
        <f t="shared" ca="1" si="3"/>
        <v>1.0034049397741323</v>
      </c>
      <c r="Y55" s="2">
        <v>1</v>
      </c>
      <c r="Z55" s="2" cm="1">
        <f t="array" aca="1" ref="Z55" ca="1">thm_monthly_vol(T55,qi,Di,bi,bf,telf,bterm,tterm)*X55*Y55</f>
        <v>4.1371004839713619</v>
      </c>
      <c r="AA55" s="2">
        <f t="shared" ca="1" si="6"/>
        <v>129.73696183901785</v>
      </c>
      <c r="AB55" s="2" cm="1">
        <f t="array" aca="1" ref="AB55" ca="1">MAX(1, Z55*1000 / DaysPerMonth * X55)</f>
        <v>136.3839691813985</v>
      </c>
      <c r="AC55" s="2" cm="1">
        <f t="array" aca="1" ref="AC55" ca="1">thm_cum($J$6,qi,Di,bi,bf,telf,bterm,tterm)</f>
        <v>483.89964063591248</v>
      </c>
      <c r="AD55" cm="1">
        <f t="array" aca="1" ref="AD55" ca="1">thm_cum_qf($J$2,qi,Di,bi,bf,telf,bterm,tterm)</f>
        <v>513.52890861553044</v>
      </c>
      <c r="AE55" s="2" cm="1">
        <f t="array" aca="1" ref="AE55" ca="1">thm_eur_t($J$6,T55+DaysPerMonth/2,AA55,qi,Di,bi,bf,telf,bterm,tterm)</f>
        <v>466.76881193180242</v>
      </c>
      <c r="AF55" cm="1">
        <f t="array" aca="1" ref="AF55" ca="1">thm_eur_qf($J$2,T55+DaysPerMonth/2,AA55,qi,Di,bi,bf,telf,bterm,tterm)</f>
        <v>496.39807991142038</v>
      </c>
    </row>
    <row r="56" spans="2:32" x14ac:dyDescent="0.25">
      <c r="B56" s="6" cm="1">
        <f t="array" ref="B56">B55+log_interval</f>
        <v>1.3815510557964272</v>
      </c>
      <c r="C56" s="8">
        <f t="shared" si="2"/>
        <v>3.9810717055349718</v>
      </c>
      <c r="D56" s="6">
        <f ca="1"/>
        <v>460.36679706175971</v>
      </c>
      <c r="E56" s="7">
        <f ca="1"/>
        <v>7.619108009963755E-3</v>
      </c>
      <c r="F56" s="7">
        <f ca="1"/>
        <v>2</v>
      </c>
      <c r="G56" s="8">
        <f ca="1"/>
        <v>1.8614254578226748</v>
      </c>
      <c r="H56" s="20">
        <f t="shared" ca="1" si="0"/>
        <v>1.6471764234454231</v>
      </c>
      <c r="I56" s="2"/>
      <c r="J56" s="2" cm="1">
        <f t="array" aca="1" ref="J56" ca="1">thm_rate($C56,qi,Di,bi,bf,telf,bterm,tterm)</f>
        <v>460.36679706175971</v>
      </c>
      <c r="K56" s="2" cm="1">
        <f t="array" aca="1" ref="K56" ca="1">thm_D($C56,qi,Di,bi,bf,telf,bterm,tterm)</f>
        <v>7.619108009963755E-3</v>
      </c>
      <c r="L56" s="3" cm="1">
        <f t="array" aca="1" ref="L56" ca="1">thm_D_eff(C56,qi,Di,bi,bf,telf,bterm,tterm)</f>
        <v>0.60973684519425331</v>
      </c>
      <c r="M56" s="2" cm="1">
        <f t="array" aca="1" ref="M56" ca="1">thm_b(C56,qi,Di,bi,bf,telf,bterm,tterm)</f>
        <v>2</v>
      </c>
      <c r="N56" s="2" cm="1">
        <f t="array" aca="1" ref="N56" ca="1">thm_monthly_vol(C56,qi,Di,bi,bf,telf,bterm,tterm)</f>
        <v>14.231629461410101</v>
      </c>
      <c r="O56" s="2" cm="1">
        <f t="array" aca="1" ref="O56" ca="1">thm_cum($C56,qi,Di,bi,bf,telf,bterm,tterm)</f>
        <v>1.8614254578226748</v>
      </c>
      <c r="Q56" cm="1">
        <f t="array" aca="1" ref="Q56" ca="1">thm_rate(C56,$F$3,$F$4,$F$5,$F$6,$F$7,$F$8,$F$9)</f>
        <v>250.8097380742625</v>
      </c>
      <c r="R56" s="2" cm="1">
        <f t="array" aca="1" ref="R56" ca="1">thm_cum($C56,$F$3,$F$4,$F$5,$F$6,$F$7,$F$8,$F$9)*$P$3/thm_cum($P$2,$F$3,$F$4,$F$5,$F$6,$F$7,$F$8,$F$9)</f>
        <v>0.99475289221983343</v>
      </c>
      <c r="T56" s="2" cm="1">
        <f t="array" ref="T56">DaysPerMonth+T55</f>
        <v>715.28125</v>
      </c>
      <c r="U56" s="2">
        <f t="shared" ca="1" si="4"/>
        <v>0.62146907185503397</v>
      </c>
      <c r="V56" s="2" t="b">
        <f t="shared" ca="1" si="1"/>
        <v>0</v>
      </c>
      <c r="W56" s="2">
        <f t="shared" ca="1" si="5"/>
        <v>0.33036966663374323</v>
      </c>
      <c r="X56" s="2">
        <f t="shared" ca="1" si="3"/>
        <v>0.91382794047328697</v>
      </c>
      <c r="Y56" s="2">
        <v>1</v>
      </c>
      <c r="Z56" s="2" cm="1">
        <f t="array" aca="1" ref="Z56" ca="1">thm_monthly_vol(T56,qi,Di,bi,bf,telf,bterm,tterm)*X56*Y56</f>
        <v>3.6830527776549338</v>
      </c>
      <c r="AA56" s="2">
        <f t="shared" ca="1" si="6"/>
        <v>133.42001461667277</v>
      </c>
      <c r="AB56" s="2" cm="1">
        <f t="array" aca="1" ref="AB56" ca="1">MAX(1, Z56*1000 / DaysPerMonth * X56)</f>
        <v>110.57664178920172</v>
      </c>
      <c r="AC56" s="2" cm="1">
        <f t="array" aca="1" ref="AC56" ca="1">thm_cum($J$6,qi,Di,bi,bf,telf,bterm,tterm)</f>
        <v>483.89964063591248</v>
      </c>
      <c r="AD56" cm="1">
        <f t="array" aca="1" ref="AD56" ca="1">thm_cum_qf($J$2,qi,Di,bi,bf,telf,bterm,tterm)</f>
        <v>513.52890861553044</v>
      </c>
      <c r="AE56" s="2" cm="1">
        <f t="array" aca="1" ref="AE56" ca="1">thm_eur_t($J$6,T56+DaysPerMonth/2,AA56,qi,Di,bi,bf,telf,bterm,tterm)</f>
        <v>466.46590126118542</v>
      </c>
      <c r="AF56" cm="1">
        <f t="array" aca="1" ref="AF56" ca="1">thm_eur_qf($J$2,T56+DaysPerMonth/2,AA56,qi,Di,bi,bf,telf,bterm,tterm)</f>
        <v>496.09516924080344</v>
      </c>
    </row>
    <row r="57" spans="2:32" x14ac:dyDescent="0.25">
      <c r="B57" s="6" cm="1">
        <f t="array" ref="B57">B56+log_interval</f>
        <v>1.4391156831212784</v>
      </c>
      <c r="C57" s="8">
        <f t="shared" si="2"/>
        <v>4.2169650342858214</v>
      </c>
      <c r="D57" s="6">
        <f ca="1"/>
        <v>459.54160531977504</v>
      </c>
      <c r="E57" s="7">
        <f ca="1"/>
        <v>7.591818508491107E-3</v>
      </c>
      <c r="F57" s="7">
        <f ca="1"/>
        <v>2</v>
      </c>
      <c r="G57" s="8">
        <f ca="1"/>
        <v>1.969925498107145</v>
      </c>
      <c r="H57" s="20">
        <f t="shared" ca="1" si="0"/>
        <v>1.743188169469627</v>
      </c>
      <c r="I57" s="2"/>
      <c r="J57" s="2" cm="1">
        <f t="array" aca="1" ref="J57" ca="1">thm_rate($C57,qi,Di,bi,bf,telf,bterm,tterm)</f>
        <v>459.54160531977504</v>
      </c>
      <c r="K57" s="2" cm="1">
        <f t="array" aca="1" ref="K57" ca="1">thm_D($C57,qi,Di,bi,bf,telf,bterm,tterm)</f>
        <v>7.591818508491107E-3</v>
      </c>
      <c r="L57" s="3" cm="1">
        <f t="array" aca="1" ref="L57" ca="1">thm_D_eff(C57,qi,Di,bi,bf,telf,bterm,tterm)</f>
        <v>0.60914303340810005</v>
      </c>
      <c r="M57" s="2" cm="1">
        <f t="array" aca="1" ref="M57" ca="1">thm_b(C57,qi,Di,bi,bf,telf,bterm,tterm)</f>
        <v>2</v>
      </c>
      <c r="N57" s="2" cm="1">
        <f t="array" aca="1" ref="N57" ca="1">thm_monthly_vol(C57,qi,Di,bi,bf,telf,bterm,tterm)</f>
        <v>14.218663626835333</v>
      </c>
      <c r="O57" s="2" cm="1">
        <f t="array" aca="1" ref="O57" ca="1">thm_cum($C57,qi,Di,bi,bf,telf,bterm,tterm)</f>
        <v>1.969925498107145</v>
      </c>
      <c r="Q57" cm="1">
        <f t="array" aca="1" ref="Q57" ca="1">thm_rate(C57,$F$3,$F$4,$F$5,$F$6,$F$7,$F$8,$F$9)</f>
        <v>250.73910141787454</v>
      </c>
      <c r="R57" s="2" cm="1">
        <f t="array" aca="1" ref="R57" ca="1">thm_cum($C57,$F$3,$F$4,$F$5,$F$6,$F$7,$F$8,$F$9)*$P$3/thm_cum($P$2,$F$3,$F$4,$F$5,$F$6,$F$7,$F$8,$F$9)</f>
        <v>1.0535472474343834</v>
      </c>
      <c r="T57" s="2" cm="1">
        <f t="array" ref="T57">DaysPerMonth+T56</f>
        <v>745.71875</v>
      </c>
      <c r="U57" s="2">
        <f t="shared" ca="1" si="4"/>
        <v>0.98074949776750597</v>
      </c>
      <c r="V57" s="2" t="b">
        <f t="shared" ca="1" si="1"/>
        <v>0</v>
      </c>
      <c r="W57" s="2">
        <f t="shared" ca="1" si="5"/>
        <v>0.14715243672579165</v>
      </c>
      <c r="X57" s="2">
        <f t="shared" ca="1" si="3"/>
        <v>1.0812807651579206</v>
      </c>
      <c r="Y57" s="2">
        <v>1</v>
      </c>
      <c r="Z57" s="2" cm="1">
        <f t="array" aca="1" ref="Z57" ca="1">thm_monthly_vol(T57,qi,Di,bi,bf,telf,bterm,tterm)*X57*Y57</f>
        <v>4.2632517515315058</v>
      </c>
      <c r="AA57" s="2">
        <f t="shared" ca="1" si="6"/>
        <v>137.68326636820427</v>
      </c>
      <c r="AB57" s="2" cm="1">
        <f t="array" aca="1" ref="AB57" ca="1">MAX(1, Z57*1000 / DaysPerMonth * X57)</f>
        <v>151.45041859406427</v>
      </c>
      <c r="AC57" s="2" cm="1">
        <f t="array" aca="1" ref="AC57" ca="1">thm_cum($J$6,qi,Di,bi,bf,telf,bterm,tterm)</f>
        <v>483.89964063591248</v>
      </c>
      <c r="AD57" cm="1">
        <f t="array" aca="1" ref="AD57" ca="1">thm_cum_qf($J$2,qi,Di,bi,bf,telf,bterm,tterm)</f>
        <v>513.52890861553044</v>
      </c>
      <c r="AE57" s="2" cm="1">
        <f t="array" aca="1" ref="AE57" ca="1">thm_eur_t($J$6,T57+DaysPerMonth/2,AA57,qi,Di,bi,bf,telf,bterm,tterm)</f>
        <v>466.82852795928363</v>
      </c>
      <c r="AF57" cm="1">
        <f t="array" aca="1" ref="AF57" ca="1">thm_eur_qf($J$2,T57+DaysPerMonth/2,AA57,qi,Di,bi,bf,telf,bterm,tterm)</f>
        <v>496.4577959389016</v>
      </c>
    </row>
    <row r="58" spans="2:32" x14ac:dyDescent="0.25">
      <c r="B58" s="6" cm="1">
        <f t="array" ref="B58">B57+log_interval</f>
        <v>1.4966803104461295</v>
      </c>
      <c r="C58" s="8">
        <f t="shared" si="2"/>
        <v>4.46683592150963</v>
      </c>
      <c r="D58" s="6">
        <f ca="1"/>
        <v>458.67233932913041</v>
      </c>
      <c r="E58" s="7">
        <f ca="1"/>
        <v>7.5631244013456608E-3</v>
      </c>
      <c r="F58" s="7">
        <f ca="1"/>
        <v>2</v>
      </c>
      <c r="G58" s="8">
        <f ca="1"/>
        <v>2.0846428617997041</v>
      </c>
      <c r="H58" s="20">
        <f t="shared" ca="1" si="0"/>
        <v>1.8447016284373716</v>
      </c>
      <c r="I58" s="2"/>
      <c r="J58" s="2" cm="1">
        <f t="array" aca="1" ref="J58" ca="1">thm_rate($C58,qi,Di,bi,bf,telf,bterm,tterm)</f>
        <v>458.67233932913041</v>
      </c>
      <c r="K58" s="2" cm="1">
        <f t="array" aca="1" ref="K58" ca="1">thm_D($C58,qi,Di,bi,bf,telf,bterm,tterm)</f>
        <v>7.5631244013456608E-3</v>
      </c>
      <c r="L58" s="3" cm="1">
        <f t="array" aca="1" ref="L58" ca="1">thm_D_eff(C58,qi,Di,bi,bf,telf,bterm,tterm)</f>
        <v>0.60851572505642015</v>
      </c>
      <c r="M58" s="2" cm="1">
        <f t="array" aca="1" ref="M58" ca="1">thm_b(C58,qi,Di,bi,bf,telf,bterm,tterm)</f>
        <v>2</v>
      </c>
      <c r="N58" s="2" cm="1">
        <f t="array" aca="1" ref="N58" ca="1">thm_monthly_vol(C58,qi,Di,bi,bf,telf,bterm,tterm)</f>
        <v>14.204980487526893</v>
      </c>
      <c r="O58" s="2" cm="1">
        <f t="array" aca="1" ref="O58" ca="1">thm_cum($C58,qi,Di,bi,bf,telf,bterm,tterm)</f>
        <v>2.0846428617997041</v>
      </c>
      <c r="Q58" cm="1">
        <f t="array" aca="1" ref="Q58" ca="1">thm_rate(C58,$F$3,$F$4,$F$5,$F$6,$F$7,$F$8,$F$9)</f>
        <v>250.66431810454196</v>
      </c>
      <c r="R58" s="2" cm="1">
        <f t="array" aca="1" ref="R58" ca="1">thm_cum($C58,$F$3,$F$4,$F$5,$F$6,$F$7,$F$8,$F$9)*$P$3/thm_cum($P$2,$F$3,$F$4,$F$5,$F$6,$F$7,$F$8,$F$9)</f>
        <v>1.1158073300898013</v>
      </c>
      <c r="T58" s="2" cm="1">
        <f t="array" ref="T58">DaysPerMonth+T57</f>
        <v>776.15625</v>
      </c>
      <c r="U58" s="2">
        <f t="shared" ca="1" si="4"/>
        <v>0.19031299797460177</v>
      </c>
      <c r="V58" s="2" t="b">
        <f t="shared" ca="1" si="1"/>
        <v>0</v>
      </c>
      <c r="W58" s="2">
        <f t="shared" ca="1" si="5"/>
        <v>0.66652823090736979</v>
      </c>
      <c r="X58" s="2">
        <f t="shared" ca="1" si="3"/>
        <v>1.0707437531545034</v>
      </c>
      <c r="Y58" s="2">
        <v>1</v>
      </c>
      <c r="Z58" s="2" cm="1">
        <f t="array" aca="1" ref="Z58" ca="1">thm_monthly_vol(T58,qi,Di,bi,bf,telf,bterm,tterm)*X58*Y58</f>
        <v>4.1323341528891229</v>
      </c>
      <c r="AA58" s="2">
        <f t="shared" ca="1" si="6"/>
        <v>141.81560052109339</v>
      </c>
      <c r="AB58" s="2" cm="1">
        <f t="array" aca="1" ref="AB58" ca="1">MAX(1, Z58*1000 / DaysPerMonth * X58)</f>
        <v>145.36906710975066</v>
      </c>
      <c r="AC58" s="2" cm="1">
        <f t="array" aca="1" ref="AC58" ca="1">thm_cum($J$6,qi,Di,bi,bf,telf,bterm,tterm)</f>
        <v>483.89964063591248</v>
      </c>
      <c r="AD58" cm="1">
        <f t="array" aca="1" ref="AD58" ca="1">thm_cum_qf($J$2,qi,Di,bi,bf,telf,bterm,tterm)</f>
        <v>513.52890861553044</v>
      </c>
      <c r="AE58" s="2" cm="1">
        <f t="array" aca="1" ref="AE58" ca="1">thm_eur_t($J$6,T58+DaysPerMonth/2,AA58,qi,Di,bi,bf,telf,bterm,tterm)</f>
        <v>467.14208646147097</v>
      </c>
      <c r="AF58" cm="1">
        <f t="array" aca="1" ref="AF58" ca="1">thm_eur_qf($J$2,T58+DaysPerMonth/2,AA58,qi,Di,bi,bf,telf,bterm,tterm)</f>
        <v>496.77135444108893</v>
      </c>
    </row>
    <row r="59" spans="2:32" x14ac:dyDescent="0.25">
      <c r="B59" s="6" cm="1">
        <f t="array" ref="B59">B58+log_interval</f>
        <v>1.5542449377709806</v>
      </c>
      <c r="C59" s="8">
        <f t="shared" si="2"/>
        <v>4.7315125896148036</v>
      </c>
      <c r="D59" s="6">
        <f ca="1"/>
        <v>457.75692481230641</v>
      </c>
      <c r="E59" s="7">
        <f ca="1"/>
        <v>7.5329656825830552E-3</v>
      </c>
      <c r="F59" s="7">
        <f ca="1"/>
        <v>2</v>
      </c>
      <c r="G59" s="8">
        <f ca="1"/>
        <v>2.2059214628829329</v>
      </c>
      <c r="H59" s="20">
        <f t="shared" ca="1" si="0"/>
        <v>1.9520211300232189</v>
      </c>
      <c r="I59" s="2"/>
      <c r="J59" s="2" cm="1">
        <f t="array" aca="1" ref="J59" ca="1">thm_rate($C59,qi,Di,bi,bf,telf,bterm,tterm)</f>
        <v>457.75692481230641</v>
      </c>
      <c r="K59" s="2" cm="1">
        <f t="array" aca="1" ref="K59" ca="1">thm_D($C59,qi,Di,bi,bf,telf,bterm,tterm)</f>
        <v>7.5329656825830552E-3</v>
      </c>
      <c r="L59" s="3" cm="1">
        <f t="array" aca="1" ref="L59" ca="1">thm_D_eff(C59,qi,Di,bi,bf,telf,bterm,tterm)</f>
        <v>0.6078531309513755</v>
      </c>
      <c r="M59" s="2" cm="1">
        <f t="array" aca="1" ref="M59" ca="1">thm_b(C59,qi,Di,bi,bf,telf,bterm,tterm)</f>
        <v>2</v>
      </c>
      <c r="N59" s="2" cm="1">
        <f t="array" aca="1" ref="N59" ca="1">thm_monthly_vol(C59,qi,Di,bi,bf,telf,bterm,tterm)</f>
        <v>14.190543352641786</v>
      </c>
      <c r="O59" s="2" cm="1">
        <f t="array" aca="1" ref="O59" ca="1">thm_cum($C59,qi,Di,bi,bf,telf,bterm,tterm)</f>
        <v>2.2059214628829329</v>
      </c>
      <c r="Q59" cm="1">
        <f t="array" aca="1" ref="Q59" ca="1">thm_rate(C59,$F$3,$F$4,$F$5,$F$6,$F$7,$F$8,$F$9)</f>
        <v>250.58514713358394</v>
      </c>
      <c r="R59" s="2" cm="1">
        <f t="array" aca="1" ref="R59" ca="1">thm_cum($C59,$F$3,$F$4,$F$5,$F$6,$F$7,$F$8,$F$9)*$P$3/thm_cum($P$2,$F$3,$F$4,$F$5,$F$6,$F$7,$F$8,$F$9)</f>
        <v>1.1817363049718281</v>
      </c>
      <c r="T59" s="2" cm="1">
        <f t="array" ref="T59">DaysPerMonth+T58</f>
        <v>806.59375</v>
      </c>
      <c r="U59" s="2">
        <f t="shared" ca="1" si="4"/>
        <v>0.21830630282439556</v>
      </c>
      <c r="V59" s="2" t="b">
        <f t="shared" ca="1" si="1"/>
        <v>0</v>
      </c>
      <c r="W59" s="2">
        <f t="shared" ca="1" si="5"/>
        <v>0.28212231051274722</v>
      </c>
      <c r="X59" s="2">
        <f t="shared" ca="1" si="3"/>
        <v>0.98579678227520751</v>
      </c>
      <c r="Y59" s="2">
        <v>1</v>
      </c>
      <c r="Z59" s="2" cm="1">
        <f t="array" aca="1" ref="Z59" ca="1">thm_monthly_vol(T59,qi,Di,bi,bf,telf,bterm,tterm)*X59*Y59</f>
        <v>3.7253213453724876</v>
      </c>
      <c r="AA59" s="2">
        <f t="shared" ca="1" si="6"/>
        <v>145.54092186646588</v>
      </c>
      <c r="AB59" s="2" cm="1">
        <f t="array" aca="1" ref="AB59" ca="1">MAX(1, Z59*1000 / DaysPerMonth * X59)</f>
        <v>120.65412058182653</v>
      </c>
      <c r="AC59" s="2" cm="1">
        <f t="array" aca="1" ref="AC59" ca="1">thm_cum($J$6,qi,Di,bi,bf,telf,bterm,tterm)</f>
        <v>483.89964063591248</v>
      </c>
      <c r="AD59" cm="1">
        <f t="array" aca="1" ref="AD59" ca="1">thm_cum_qf($J$2,qi,Di,bi,bf,telf,bterm,tterm)</f>
        <v>513.52890861553044</v>
      </c>
      <c r="AE59" s="2" cm="1">
        <f t="array" aca="1" ref="AE59" ca="1">thm_eur_t($J$6,T59+DaysPerMonth/2,AA59,qi,Di,bi,bf,telf,bterm,tterm)</f>
        <v>467.12745725487116</v>
      </c>
      <c r="AF59" cm="1">
        <f t="array" aca="1" ref="AF59" ca="1">thm_eur_qf($J$2,T59+DaysPerMonth/2,AA59,qi,Di,bi,bf,telf,bterm,tterm)</f>
        <v>496.75672523448912</v>
      </c>
    </row>
    <row r="60" spans="2:32" x14ac:dyDescent="0.25">
      <c r="B60" s="6" cm="1">
        <f t="array" ref="B60">B59+log_interval</f>
        <v>1.6118095650958317</v>
      </c>
      <c r="C60" s="8">
        <f t="shared" si="2"/>
        <v>5.011872336272722</v>
      </c>
      <c r="D60" s="6">
        <f ca="1"/>
        <v>456.79322134616012</v>
      </c>
      <c r="E60" s="7">
        <f ca="1"/>
        <v>7.501281165836129E-3</v>
      </c>
      <c r="F60" s="7">
        <f ca="1"/>
        <v>2</v>
      </c>
      <c r="G60" s="8">
        <f ca="1"/>
        <v>2.3341228441719339</v>
      </c>
      <c r="H60" s="20">
        <f t="shared" ca="1" si="0"/>
        <v>2.0654666036654388</v>
      </c>
      <c r="I60" s="2"/>
      <c r="J60" s="2" cm="1">
        <f t="array" aca="1" ref="J60" ca="1">thm_rate($C60,qi,Di,bi,bf,telf,bterm,tterm)</f>
        <v>456.79322134616012</v>
      </c>
      <c r="K60" s="2" cm="1">
        <f t="array" aca="1" ref="K60" ca="1">thm_D($C60,qi,Di,bi,bf,telf,bterm,tterm)</f>
        <v>7.501281165836129E-3</v>
      </c>
      <c r="L60" s="3" cm="1">
        <f t="array" aca="1" ref="L60" ca="1">thm_D_eff(C60,qi,Di,bi,bf,telf,bterm,tterm)</f>
        <v>0.60715337789772761</v>
      </c>
      <c r="M60" s="2" cm="1">
        <f t="array" aca="1" ref="M60" ca="1">thm_b(C60,qi,Di,bi,bf,telf,bterm,tterm)</f>
        <v>2</v>
      </c>
      <c r="N60" s="2" cm="1">
        <f t="array" aca="1" ref="N60" ca="1">thm_monthly_vol(C60,qi,Di,bi,bf,telf,bterm,tterm)</f>
        <v>14.175313994992655</v>
      </c>
      <c r="O60" s="2" cm="1">
        <f t="array" aca="1" ref="O60" ca="1">thm_cum($C60,qi,Di,bi,bf,telf,bterm,tterm)</f>
        <v>2.3341228441719339</v>
      </c>
      <c r="Q60" cm="1">
        <f t="array" aca="1" ref="Q60" ca="1">thm_rate(C60,$F$3,$F$4,$F$5,$F$6,$F$7,$F$8,$F$9)</f>
        <v>250.50133379184649</v>
      </c>
      <c r="R60" s="2" cm="1">
        <f t="array" aca="1" ref="R60" ca="1">thm_cum($C60,$F$3,$F$4,$F$5,$F$6,$F$7,$F$8,$F$9)*$P$3/thm_cum($P$2,$F$3,$F$4,$F$5,$F$6,$F$7,$F$8,$F$9)</f>
        <v>1.251549109644944</v>
      </c>
      <c r="T60" s="2" cm="1">
        <f t="array" ref="T60">DaysPerMonth+T59</f>
        <v>837.03125</v>
      </c>
      <c r="U60" s="2">
        <f t="shared" ca="1" si="4"/>
        <v>0.69112585573085572</v>
      </c>
      <c r="V60" s="2" t="b">
        <f t="shared" ca="1" si="1"/>
        <v>0</v>
      </c>
      <c r="W60" s="2">
        <f t="shared" ca="1" si="5"/>
        <v>0.23898705469629034</v>
      </c>
      <c r="X60" s="2">
        <f t="shared" ca="1" si="3"/>
        <v>0.763318807562407</v>
      </c>
      <c r="Y60" s="2">
        <v>1</v>
      </c>
      <c r="Z60" s="2" cm="1">
        <f t="array" aca="1" ref="Z60" ca="1">thm_monthly_vol(T60,qi,Di,bi,bf,telf,bterm,tterm)*X60*Y60</f>
        <v>2.8255177979817869</v>
      </c>
      <c r="AA60" s="2">
        <f t="shared" ca="1" si="6"/>
        <v>148.36643966444765</v>
      </c>
      <c r="AB60" s="2" cm="1">
        <f t="array" aca="1" ref="AB60" ca="1">MAX(1, Z60*1000 / DaysPerMonth * X60)</f>
        <v>70.859002096158207</v>
      </c>
      <c r="AC60" s="2" cm="1">
        <f t="array" aca="1" ref="AC60" ca="1">thm_cum($J$6,qi,Di,bi,bf,telf,bterm,tterm)</f>
        <v>483.89964063591248</v>
      </c>
      <c r="AD60" cm="1">
        <f t="array" aca="1" ref="AD60" ca="1">thm_cum_qf($J$2,qi,Di,bi,bf,telf,bterm,tterm)</f>
        <v>513.52890861553044</v>
      </c>
      <c r="AE60" s="2" cm="1">
        <f t="array" aca="1" ref="AE60" ca="1">thm_eur_t($J$6,T60+DaysPerMonth/2,AA60,qi,Di,bi,bf,telf,bterm,tterm)</f>
        <v>466.2889838386518</v>
      </c>
      <c r="AF60" cm="1">
        <f t="array" aca="1" ref="AF60" ca="1">thm_eur_qf($J$2,T60+DaysPerMonth/2,AA60,qi,Di,bi,bf,telf,bterm,tterm)</f>
        <v>495.91825181826977</v>
      </c>
    </row>
    <row r="61" spans="2:32" x14ac:dyDescent="0.25">
      <c r="B61" s="6" cm="1">
        <f t="array" ref="B61">B60+log_interval</f>
        <v>1.6693741924206829</v>
      </c>
      <c r="C61" s="8">
        <f t="shared" si="2"/>
        <v>5.3088444423098817</v>
      </c>
      <c r="D61" s="6">
        <f ca="1"/>
        <v>455.77902390485548</v>
      </c>
      <c r="E61" s="7">
        <f ca="1"/>
        <v>7.4680086293634415E-3</v>
      </c>
      <c r="F61" s="7">
        <f ca="1"/>
        <v>2</v>
      </c>
      <c r="G61" s="8">
        <f ca="1"/>
        <v>2.4696269275990446</v>
      </c>
      <c r="H61" s="20">
        <f t="shared" ca="1" si="0"/>
        <v>2.1853742424933706</v>
      </c>
      <c r="I61" s="2"/>
      <c r="J61" s="2" cm="1">
        <f t="array" aca="1" ref="J61" ca="1">thm_rate($C61,qi,Di,bi,bf,telf,bterm,tterm)</f>
        <v>455.77902390485548</v>
      </c>
      <c r="K61" s="2" cm="1">
        <f t="array" aca="1" ref="K61" ca="1">thm_D($C61,qi,Di,bi,bf,telf,bterm,tterm)</f>
        <v>7.4680086293634415E-3</v>
      </c>
      <c r="L61" s="3" cm="1">
        <f t="array" aca="1" ref="L61" ca="1">thm_D_eff(C61,qi,Di,bi,bf,telf,bterm,tterm)</f>
        <v>0.60641450607820868</v>
      </c>
      <c r="M61" s="2" cm="1">
        <f t="array" aca="1" ref="M61" ca="1">thm_b(C61,qi,Di,bi,bf,telf,bterm,tterm)</f>
        <v>2</v>
      </c>
      <c r="N61" s="2" cm="1">
        <f t="array" aca="1" ref="N61" ca="1">thm_monthly_vol(C61,qi,Di,bi,bf,telf,bterm,tterm)</f>
        <v>14.159252625622182</v>
      </c>
      <c r="O61" s="2" cm="1">
        <f t="array" aca="1" ref="O61" ca="1">thm_cum($C61,qi,Di,bi,bf,telf,bterm,tterm)</f>
        <v>2.4696269275990446</v>
      </c>
      <c r="Q61" cm="1">
        <f t="array" aca="1" ref="Q61" ca="1">thm_rate(C61,$F$3,$F$4,$F$5,$F$6,$F$7,$F$8,$F$9)</f>
        <v>250.41260890928478</v>
      </c>
      <c r="R61" s="2" cm="1">
        <f t="array" aca="1" ref="R61" ca="1">thm_cum($C61,$F$3,$F$4,$F$5,$F$6,$F$7,$F$8,$F$9)*$P$3/thm_cum($P$2,$F$3,$F$4,$F$5,$F$6,$F$7,$F$8,$F$9)</f>
        <v>1.3254731200185297</v>
      </c>
      <c r="T61" s="2" cm="1">
        <f t="array" ref="T61">DaysPerMonth+T60</f>
        <v>867.46875</v>
      </c>
      <c r="U61" s="2">
        <f t="shared" ca="1" si="4"/>
        <v>0.21542915133232676</v>
      </c>
      <c r="V61" s="2" t="b">
        <f t="shared" ca="1" si="1"/>
        <v>0</v>
      </c>
      <c r="W61" s="2">
        <f t="shared" ca="1" si="5"/>
        <v>0.43918537297446597</v>
      </c>
      <c r="X61" s="2">
        <f t="shared" ca="1" si="3"/>
        <v>1.0088749106550237</v>
      </c>
      <c r="Y61" s="2">
        <v>1</v>
      </c>
      <c r="Z61" s="2" cm="1">
        <f t="array" aca="1" ref="Z61" ca="1">thm_monthly_vol(T61,qi,Di,bi,bf,telf,bterm,tterm)*X61*Y61</f>
        <v>3.6592292781257152</v>
      </c>
      <c r="AA61" s="2">
        <f t="shared" ca="1" si="6"/>
        <v>152.02566894257336</v>
      </c>
      <c r="AB61" s="2" cm="1">
        <f t="array" aca="1" ref="AB61" ca="1">MAX(1, Z61*1000 / DaysPerMonth * X61)</f>
        <v>121.28803650218735</v>
      </c>
      <c r="AC61" s="2" cm="1">
        <f t="array" aca="1" ref="AC61" ca="1">thm_cum($J$6,qi,Di,bi,bf,telf,bterm,tterm)</f>
        <v>483.89964063591248</v>
      </c>
      <c r="AD61" cm="1">
        <f t="array" aca="1" ref="AD61" ca="1">thm_cum_qf($J$2,qi,Di,bi,bf,telf,bterm,tterm)</f>
        <v>513.52890861553044</v>
      </c>
      <c r="AE61" s="2" cm="1">
        <f t="array" aca="1" ref="AE61" ca="1">thm_eur_t($J$6,T61+DaysPerMonth/2,AA61,qi,Di,bi,bf,telf,bterm,tterm)</f>
        <v>466.35746327978643</v>
      </c>
      <c r="AF61" cm="1">
        <f t="array" aca="1" ref="AF61" ca="1">thm_eur_qf($J$2,T61+DaysPerMonth/2,AA61,qi,Di,bi,bf,telf,bterm,tterm)</f>
        <v>495.98673125940434</v>
      </c>
    </row>
    <row r="62" spans="2:32" x14ac:dyDescent="0.25">
      <c r="B62" s="6" cm="1">
        <f t="array" ref="B62">B61+log_interval</f>
        <v>1.726938819745534</v>
      </c>
      <c r="C62" s="8">
        <f t="shared" si="2"/>
        <v>5.6234132519034894</v>
      </c>
      <c r="D62" s="6">
        <f ca="1"/>
        <v>454.71206492945504</v>
      </c>
      <c r="E62" s="7">
        <f ca="1"/>
        <v>7.4330849844497912E-3</v>
      </c>
      <c r="F62" s="7">
        <f ca="1"/>
        <v>2</v>
      </c>
      <c r="G62" s="8">
        <f ca="1"/>
        <v>2.6128327799239544</v>
      </c>
      <c r="H62" s="20">
        <f t="shared" ca="1" si="0"/>
        <v>2.3120971809047295</v>
      </c>
      <c r="I62" s="2"/>
      <c r="J62" s="2" cm="1">
        <f t="array" aca="1" ref="J62" ca="1">thm_rate($C62,qi,Di,bi,bf,telf,bterm,tterm)</f>
        <v>454.71206492945504</v>
      </c>
      <c r="K62" s="2" cm="1">
        <f t="array" aca="1" ref="K62" ca="1">thm_D($C62,qi,Di,bi,bf,telf,bterm,tterm)</f>
        <v>7.4330849844497912E-3</v>
      </c>
      <c r="L62" s="3" cm="1">
        <f t="array" aca="1" ref="L62" ca="1">thm_D_eff(C62,qi,Di,bi,bf,telf,bterm,tterm)</f>
        <v>0.60563446651821051</v>
      </c>
      <c r="M62" s="2" cm="1">
        <f t="array" aca="1" ref="M62" ca="1">thm_b(C62,qi,Di,bi,bf,telf,bterm,tterm)</f>
        <v>2</v>
      </c>
      <c r="N62" s="2" cm="1">
        <f t="array" aca="1" ref="N62" ca="1">thm_monthly_vol(C62,qi,Di,bi,bf,telf,bterm,tterm)</f>
        <v>14.14231787287118</v>
      </c>
      <c r="O62" s="2" cm="1">
        <f t="array" aca="1" ref="O62" ca="1">thm_cum($C62,qi,Di,bi,bf,telf,bterm,tterm)</f>
        <v>2.6128327799239544</v>
      </c>
      <c r="Q62" cm="1">
        <f t="array" aca="1" ref="Q62" ca="1">thm_rate(C62,$F$3,$F$4,$F$5,$F$6,$F$7,$F$8,$F$9)</f>
        <v>250.3186880785274</v>
      </c>
      <c r="R62" s="2" cm="1">
        <f t="array" aca="1" ref="R62" ca="1">thm_cum($C62,$F$3,$F$4,$F$5,$F$6,$F$7,$F$8,$F$9)*$P$3/thm_cum($P$2,$F$3,$F$4,$F$5,$F$6,$F$7,$F$8,$F$9)</f>
        <v>1.4037488515146188</v>
      </c>
      <c r="T62" s="2" cm="1">
        <f t="array" ref="T62">DaysPerMonth+T61</f>
        <v>897.90625</v>
      </c>
      <c r="U62" s="2">
        <f t="shared" ca="1" si="4"/>
        <v>0.44726388334221179</v>
      </c>
      <c r="V62" s="2" t="b">
        <f t="shared" ca="1" si="1"/>
        <v>0</v>
      </c>
      <c r="W62" s="2">
        <f t="shared" ca="1" si="5"/>
        <v>5.290288530854792E-2</v>
      </c>
      <c r="X62" s="2">
        <f t="shared" ca="1" si="3"/>
        <v>0.60674269972814199</v>
      </c>
      <c r="Y62" s="2">
        <v>1</v>
      </c>
      <c r="Z62" s="2" cm="1">
        <f t="array" aca="1" ref="Z62" ca="1">thm_monthly_vol(T62,qi,Di,bi,bf,telf,bterm,tterm)*X62*Y62</f>
        <v>2.1570339438694077</v>
      </c>
      <c r="AA62" s="2">
        <f t="shared" ca="1" si="6"/>
        <v>154.18270288644277</v>
      </c>
      <c r="AB62" s="2" cm="1">
        <f t="array" aca="1" ref="AB62" ca="1">MAX(1, Z62*1000 / DaysPerMonth * X62)</f>
        <v>42.99842623436767</v>
      </c>
      <c r="AC62" s="2" cm="1">
        <f t="array" aca="1" ref="AC62" ca="1">thm_cum($J$6,qi,Di,bi,bf,telf,bterm,tterm)</f>
        <v>483.89964063591248</v>
      </c>
      <c r="AD62" cm="1">
        <f t="array" aca="1" ref="AD62" ca="1">thm_cum_qf($J$2,qi,Di,bi,bf,telf,bterm,tterm)</f>
        <v>513.52890861553044</v>
      </c>
      <c r="AE62" s="2" cm="1">
        <f t="array" aca="1" ref="AE62" ca="1">thm_eur_t($J$6,T62+DaysPerMonth/2,AA62,qi,Di,bi,bf,telf,bterm,tterm)</f>
        <v>464.99440880152486</v>
      </c>
      <c r="AF62" cm="1">
        <f t="array" aca="1" ref="AF62" ca="1">thm_eur_qf($J$2,T62+DaysPerMonth/2,AA62,qi,Di,bi,bf,telf,bterm,tterm)</f>
        <v>494.62367678114288</v>
      </c>
    </row>
    <row r="63" spans="2:32" x14ac:dyDescent="0.25">
      <c r="B63" s="6" cm="1">
        <f t="array" ref="B63">B62+log_interval</f>
        <v>1.7845034470703851</v>
      </c>
      <c r="C63" s="8">
        <f t="shared" si="2"/>
        <v>5.9566214352901028</v>
      </c>
      <c r="D63" s="6">
        <f ca="1"/>
        <v>453.59001697479152</v>
      </c>
      <c r="E63" s="7">
        <f ca="1"/>
        <v>7.3964464687511465E-3</v>
      </c>
      <c r="F63" s="7">
        <f ca="1"/>
        <v>2</v>
      </c>
      <c r="G63" s="8">
        <f ca="1"/>
        <v>2.7641593923338883</v>
      </c>
      <c r="H63" s="20">
        <f t="shared" ca="1" si="0"/>
        <v>2.4460061844342449</v>
      </c>
      <c r="I63" s="2"/>
      <c r="J63" s="2" cm="1">
        <f t="array" aca="1" ref="J63" ca="1">thm_rate($C63,qi,Di,bi,bf,telf,bterm,tterm)</f>
        <v>453.59001697479152</v>
      </c>
      <c r="K63" s="2" cm="1">
        <f t="array" aca="1" ref="K63" ca="1">thm_D($C63,qi,Di,bi,bf,telf,bterm,tterm)</f>
        <v>7.3964464687511465E-3</v>
      </c>
      <c r="L63" s="3" cm="1">
        <f t="array" aca="1" ref="L63" ca="1">thm_D_eff(C63,qi,Di,bi,bf,telf,bterm,tterm)</f>
        <v>0.60481111865441928</v>
      </c>
      <c r="M63" s="2" cm="1">
        <f t="array" aca="1" ref="M63" ca="1">thm_b(C63,qi,Di,bi,bf,telf,bterm,tterm)</f>
        <v>2</v>
      </c>
      <c r="N63" s="2" cm="1">
        <f t="array" aca="1" ref="N63" ca="1">thm_monthly_vol(C63,qi,Di,bi,bf,telf,bterm,tterm)</f>
        <v>14.124466766631977</v>
      </c>
      <c r="O63" s="2" cm="1">
        <f t="array" aca="1" ref="O63" ca="1">thm_cum($C63,qi,Di,bi,bf,telf,bterm,tterm)</f>
        <v>2.7641593923338883</v>
      </c>
      <c r="Q63" cm="1">
        <f t="array" aca="1" ref="Q63" ca="1">thm_rate(C63,$F$3,$F$4,$F$5,$F$6,$F$7,$F$8,$F$9)</f>
        <v>250.21927083723367</v>
      </c>
      <c r="R63" s="2" cm="1">
        <f t="array" aca="1" ref="R63" ca="1">thm_cum($C63,$F$3,$F$4,$F$5,$F$6,$F$7,$F$8,$F$9)*$P$3/thm_cum($P$2,$F$3,$F$4,$F$5,$F$6,$F$7,$F$8,$F$9)</f>
        <v>1.4866306974935521</v>
      </c>
      <c r="T63" s="2" cm="1">
        <f t="array" ref="T63">DaysPerMonth+T62</f>
        <v>928.34375</v>
      </c>
      <c r="U63" s="2">
        <f t="shared" ca="1" si="4"/>
        <v>0.88802391592724617</v>
      </c>
      <c r="V63" s="2" t="b">
        <f t="shared" ca="1" si="1"/>
        <v>0</v>
      </c>
      <c r="W63" s="2">
        <f t="shared" ca="1" si="5"/>
        <v>2.5142814117008537E-3</v>
      </c>
      <c r="X63" s="2">
        <f t="shared" ca="1" si="3"/>
        <v>0.51243991974233793</v>
      </c>
      <c r="Y63" s="2">
        <v>1</v>
      </c>
      <c r="Z63" s="2" cm="1">
        <f t="array" aca="1" ref="Z63" ca="1">thm_monthly_vol(T63,qi,Di,bi,bf,telf,bterm,tterm)*X63*Y63</f>
        <v>1.7862039163754617</v>
      </c>
      <c r="AA63" s="2">
        <f t="shared" ca="1" si="6"/>
        <v>155.96890680281822</v>
      </c>
      <c r="AB63" s="2" cm="1">
        <f t="array" aca="1" ref="AB63" ca="1">MAX(1, Z63*1000 / DaysPerMonth * X63)</f>
        <v>30.072186991405054</v>
      </c>
      <c r="AC63" s="2" cm="1">
        <f t="array" aca="1" ref="AC63" ca="1">thm_cum($J$6,qi,Di,bi,bf,telf,bterm,tterm)</f>
        <v>483.89964063591248</v>
      </c>
      <c r="AD63" cm="1">
        <f t="array" aca="1" ref="AD63" ca="1">thm_cum_qf($J$2,qi,Di,bi,bf,telf,bterm,tterm)</f>
        <v>513.52890861553044</v>
      </c>
      <c r="AE63" s="2" cm="1">
        <f t="array" aca="1" ref="AE63" ca="1">thm_eur_t($J$6,T63+DaysPerMonth/2,AA63,qi,Di,bi,bf,telf,bterm,tterm)</f>
        <v>463.32873473450923</v>
      </c>
      <c r="AF63" cm="1">
        <f t="array" aca="1" ref="AF63" ca="1">thm_eur_qf($J$2,T63+DaysPerMonth/2,AA63,qi,Di,bi,bf,telf,bterm,tterm)</f>
        <v>492.95800271412713</v>
      </c>
    </row>
    <row r="64" spans="2:32" x14ac:dyDescent="0.25">
      <c r="B64" s="6" cm="1">
        <f t="array" ref="B64">B63+log_interval</f>
        <v>1.8420680743952362</v>
      </c>
      <c r="C64" s="8">
        <f t="shared" si="2"/>
        <v>6.3095734448019307</v>
      </c>
      <c r="D64" s="6">
        <f ca="1"/>
        <v>452.41049598534352</v>
      </c>
      <c r="E64" s="7">
        <f ca="1"/>
        <v>7.3580288661130588E-3</v>
      </c>
      <c r="F64" s="7">
        <f ca="1"/>
        <v>2</v>
      </c>
      <c r="G64" s="8">
        <f ca="1"/>
        <v>2.9240464721683566</v>
      </c>
      <c r="H64" s="20">
        <f t="shared" ca="1" si="0"/>
        <v>2.5874903503513318</v>
      </c>
      <c r="I64" s="2"/>
      <c r="J64" s="2" cm="1">
        <f t="array" aca="1" ref="J64" ca="1">thm_rate($C64,qi,Di,bi,bf,telf,bterm,tterm)</f>
        <v>452.41049598534352</v>
      </c>
      <c r="K64" s="2" cm="1">
        <f t="array" aca="1" ref="K64" ca="1">thm_D($C64,qi,Di,bi,bf,telf,bterm,tterm)</f>
        <v>7.3580288661130588E-3</v>
      </c>
      <c r="L64" s="3" cm="1">
        <f t="array" aca="1" ref="L64" ca="1">thm_D_eff(C64,qi,Di,bi,bf,telf,bterm,tterm)</f>
        <v>0.60394222803461517</v>
      </c>
      <c r="M64" s="2" cm="1">
        <f t="array" aca="1" ref="M64" ca="1">thm_b(C64,qi,Di,bi,bf,telf,bterm,tterm)</f>
        <v>2</v>
      </c>
      <c r="N64" s="2" cm="1">
        <f t="array" aca="1" ref="N64" ca="1">thm_monthly_vol(C64,qi,Di,bi,bf,telf,bterm,tterm)</f>
        <v>14.10565472852155</v>
      </c>
      <c r="O64" s="2" cm="1">
        <f t="array" aca="1" ref="O64" ca="1">thm_cum($C64,qi,Di,bi,bf,telf,bterm,tterm)</f>
        <v>2.9240464721683566</v>
      </c>
      <c r="Q64" cm="1">
        <f t="array" aca="1" ref="Q64" ca="1">thm_rate(C64,$F$3,$F$4,$F$5,$F$6,$F$7,$F$8,$F$9)</f>
        <v>250.11403981209509</v>
      </c>
      <c r="R64" s="2" cm="1">
        <f t="array" aca="1" ref="R64" ca="1">thm_cum($C64,$F$3,$F$4,$F$5,$F$6,$F$7,$F$8,$F$9)*$P$3/thm_cum($P$2,$F$3,$F$4,$F$5,$F$6,$F$7,$F$8,$F$9)</f>
        <v>1.5743877066341385</v>
      </c>
      <c r="T64" s="2" cm="1">
        <f t="array" ref="T64">DaysPerMonth+T63</f>
        <v>958.78125</v>
      </c>
      <c r="U64" s="2">
        <f t="shared" ca="1" si="4"/>
        <v>3.1398082388503057E-2</v>
      </c>
      <c r="V64" s="2" t="b">
        <f t="shared" ca="1" si="1"/>
        <v>1</v>
      </c>
      <c r="W64" s="2">
        <f t="shared" ca="1" si="5"/>
        <v>0.14817320977888701</v>
      </c>
      <c r="X64" s="2">
        <f t="shared" ca="1" si="3"/>
        <v>0.1651411819463828</v>
      </c>
      <c r="Y64" s="2">
        <v>1</v>
      </c>
      <c r="Z64" s="2" cm="1">
        <f t="array" aca="1" ref="Z64" ca="1">thm_monthly_vol(T64,qi,Di,bi,bf,telf,bterm,tterm)*X64*Y64</f>
        <v>0.56456053887371183</v>
      </c>
      <c r="AA64" s="2">
        <f t="shared" ca="1" si="6"/>
        <v>156.53346734169193</v>
      </c>
      <c r="AB64" s="2" cm="1">
        <f t="array" aca="1" ref="AB64" ca="1">MAX(1, Z64*1000 / DaysPerMonth * X64)</f>
        <v>3.0630700507561914</v>
      </c>
      <c r="AC64" s="2" cm="1">
        <f t="array" aca="1" ref="AC64" ca="1">thm_cum($J$6,qi,Di,bi,bf,telf,bterm,tterm)</f>
        <v>483.89964063591248</v>
      </c>
      <c r="AD64" cm="1">
        <f t="array" aca="1" ref="AD64" ca="1">thm_cum_qf($J$2,qi,Di,bi,bf,telf,bterm,tterm)</f>
        <v>513.52890861553044</v>
      </c>
      <c r="AE64" s="2" cm="1">
        <f t="array" aca="1" ref="AE64" ca="1">thm_eur_t($J$6,T64+DaysPerMonth/2,AA64,qi,Di,bi,bf,telf,bterm,tterm)</f>
        <v>460.50729744240618</v>
      </c>
      <c r="AF64" cm="1">
        <f t="array" aca="1" ref="AF64" ca="1">thm_eur_qf($J$2,T64+DaysPerMonth/2,AA64,qi,Di,bi,bf,telf,bterm,tterm)</f>
        <v>490.13656542202409</v>
      </c>
    </row>
    <row r="65" spans="2:32" x14ac:dyDescent="0.25">
      <c r="B65" s="6" cm="1">
        <f t="array" ref="B65">B64+log_interval</f>
        <v>1.8996327017200874</v>
      </c>
      <c r="C65" s="8">
        <f t="shared" si="2"/>
        <v>6.6834391756861438</v>
      </c>
      <c r="D65" s="6">
        <f ca="1"/>
        <v>451.17106525237728</v>
      </c>
      <c r="E65" s="7">
        <f ca="1"/>
        <v>7.3177677542926589E-3</v>
      </c>
      <c r="F65" s="7">
        <f ca="1"/>
        <v>2</v>
      </c>
      <c r="G65" s="8">
        <f ca="1"/>
        <v>3.0929552447646511</v>
      </c>
      <c r="H65" s="20">
        <f t="shared" ref="H65:H96" ca="1" si="7">$P$4*G65</f>
        <v>2.7369578172136149</v>
      </c>
      <c r="I65" s="2"/>
      <c r="J65" s="2" cm="1">
        <f t="array" aca="1" ref="J65" ca="1">thm_rate($C65,qi,Di,bi,bf,telf,bterm,tterm)</f>
        <v>451.17106525237728</v>
      </c>
      <c r="K65" s="2" cm="1">
        <f t="array" aca="1" ref="K65" ca="1">thm_D($C65,qi,Di,bi,bf,telf,bterm,tterm)</f>
        <v>7.3177677542926589E-3</v>
      </c>
      <c r="L65" s="3" cm="1">
        <f t="array" aca="1" ref="L65" ca="1">thm_D_eff(C65,qi,Di,bi,bf,telf,bterm,tterm)</f>
        <v>0.60302546417858593</v>
      </c>
      <c r="M65" s="2" cm="1">
        <f t="array" aca="1" ref="M65" ca="1">thm_b(C65,qi,Di,bi,bf,telf,bterm,tterm)</f>
        <v>2</v>
      </c>
      <c r="N65" s="2" cm="1">
        <f t="array" aca="1" ref="N65" ca="1">thm_monthly_vol(C65,qi,Di,bi,bf,telf,bterm,tterm)</f>
        <v>14.085835568760025</v>
      </c>
      <c r="O65" s="2" cm="1">
        <f t="array" aca="1" ref="O65" ca="1">thm_cum($C65,qi,Di,bi,bf,telf,bterm,tterm)</f>
        <v>3.0929552447646511</v>
      </c>
      <c r="Q65" cm="1">
        <f t="array" aca="1" ref="Q65" ca="1">thm_rate(C65,$F$3,$F$4,$F$5,$F$6,$F$7,$F$8,$F$9)</f>
        <v>250.00265982338243</v>
      </c>
      <c r="R65" s="2" cm="1">
        <f t="array" aca="1" ref="R65" ca="1">thm_cum($C65,$F$3,$F$4,$F$5,$F$6,$F$7,$F$8,$F$9)*$P$3/thm_cum($P$2,$F$3,$F$4,$F$5,$F$6,$F$7,$F$8,$F$9)</f>
        <v>1.6673044010134808</v>
      </c>
      <c r="T65" s="2" cm="1">
        <f t="array" ref="T65">DaysPerMonth+T64</f>
        <v>989.21875</v>
      </c>
      <c r="U65" s="2">
        <f t="shared" ca="1" si="4"/>
        <v>0.11688190006258597</v>
      </c>
      <c r="V65" s="2" t="b">
        <f t="shared" ca="1" si="1"/>
        <v>0</v>
      </c>
      <c r="W65" s="2">
        <f t="shared" ca="1" si="5"/>
        <v>0.55115735829655099</v>
      </c>
      <c r="X65" s="2">
        <f t="shared" ca="1" si="3"/>
        <v>1.0312731393635575</v>
      </c>
      <c r="Y65" s="2">
        <v>1</v>
      </c>
      <c r="Z65" s="2" cm="1">
        <f t="array" aca="1" ref="Z65" ca="1">thm_monthly_vol(T65,qi,Di,bi,bf,telf,bterm,tterm)*X65*Y65</f>
        <v>3.4587828613356093</v>
      </c>
      <c r="AA65" s="2">
        <f t="shared" ca="1" si="6"/>
        <v>159.99225020302754</v>
      </c>
      <c r="AB65" s="2" cm="1">
        <f t="array" aca="1" ref="AB65" ca="1">MAX(1, Z65*1000 / DaysPerMonth * X65)</f>
        <v>117.18931777532457</v>
      </c>
      <c r="AC65" s="2" cm="1">
        <f t="array" aca="1" ref="AC65" ca="1">thm_cum($J$6,qi,Di,bi,bf,telf,bterm,tterm)</f>
        <v>483.89964063591248</v>
      </c>
      <c r="AD65" cm="1">
        <f t="array" aca="1" ref="AD65" ca="1">thm_cum_qf($J$2,qi,Di,bi,bf,telf,bterm,tterm)</f>
        <v>513.52890861553044</v>
      </c>
      <c r="AE65" s="2" cm="1">
        <f t="array" aca="1" ref="AE65" ca="1">thm_eur_t($J$6,T65+DaysPerMonth/2,AA65,qi,Di,bi,bf,telf,bterm,tterm)</f>
        <v>460.6437453811626</v>
      </c>
      <c r="AF65" cm="1">
        <f t="array" aca="1" ref="AF65" ca="1">thm_eur_qf($J$2,T65+DaysPerMonth/2,AA65,qi,Di,bi,bf,telf,bterm,tterm)</f>
        <v>490.27301336078062</v>
      </c>
    </row>
    <row r="66" spans="2:32" x14ac:dyDescent="0.25">
      <c r="B66" s="6" cm="1">
        <f t="array" ref="B66">B65+log_interval</f>
        <v>1.9571973290449385</v>
      </c>
      <c r="C66" s="8">
        <f t="shared" si="2"/>
        <v>7.0794578438413769</v>
      </c>
      <c r="D66" s="6">
        <f ca="1"/>
        <v>449.86924010447194</v>
      </c>
      <c r="E66" s="7">
        <f ca="1"/>
        <v>7.2755987818747796E-3</v>
      </c>
      <c r="F66" s="7">
        <f ca="1"/>
        <v>2</v>
      </c>
      <c r="G66" s="8">
        <f ca="1"/>
        <v>3.2713692631736384</v>
      </c>
      <c r="H66" s="20">
        <f t="shared" ca="1" si="7"/>
        <v>2.8948364813848864</v>
      </c>
      <c r="I66" s="2"/>
      <c r="J66" s="2" cm="1">
        <f t="array" aca="1" ref="J66" ca="1">thm_rate($C66,qi,Di,bi,bf,telf,bterm,tterm)</f>
        <v>449.86924010447194</v>
      </c>
      <c r="K66" s="2" cm="1">
        <f t="array" aca="1" ref="K66" ca="1">thm_D($C66,qi,Di,bi,bf,telf,bterm,tterm)</f>
        <v>7.2755987818747796E-3</v>
      </c>
      <c r="L66" s="3" cm="1">
        <f t="array" aca="1" ref="L66" ca="1">thm_D_eff(C66,qi,Di,bi,bf,telf,bterm,tterm)</f>
        <v>0.60205839863293042</v>
      </c>
      <c r="M66" s="2" cm="1">
        <f t="array" aca="1" ref="M66" ca="1">thm_b(C66,qi,Di,bi,bf,telf,bterm,tterm)</f>
        <v>2</v>
      </c>
      <c r="N66" s="2" cm="1">
        <f t="array" aca="1" ref="N66" ca="1">thm_monthly_vol(C66,qi,Di,bi,bf,telf,bterm,tterm)</f>
        <v>14.064961490584821</v>
      </c>
      <c r="O66" s="2" cm="1">
        <f t="array" aca="1" ref="O66" ca="1">thm_cum($C66,qi,Di,bi,bf,telf,bterm,tterm)</f>
        <v>3.2713692631736384</v>
      </c>
      <c r="Q66" cm="1">
        <f t="array" aca="1" ref="Q66" ca="1">thm_rate(C66,$F$3,$F$4,$F$5,$F$6,$F$7,$F$8,$F$9)</f>
        <v>249.88477694900826</v>
      </c>
      <c r="R66" s="2" cm="1">
        <f t="array" aca="1" ref="R66" ca="1">thm_cum($C66,$F$3,$F$4,$F$5,$F$6,$F$7,$F$8,$F$9)*$P$3/thm_cum($P$2,$F$3,$F$4,$F$5,$F$6,$F$7,$F$8,$F$9)</f>
        <v>1.7656816366622023</v>
      </c>
      <c r="T66" s="2" cm="1">
        <f t="array" ref="T66">DaysPerMonth+T65</f>
        <v>1019.65625</v>
      </c>
      <c r="U66" s="2">
        <f t="shared" ca="1" si="4"/>
        <v>0.70031113253366195</v>
      </c>
      <c r="V66" s="2" t="b">
        <f t="shared" ca="1" si="1"/>
        <v>0</v>
      </c>
      <c r="W66" s="2">
        <f t="shared" ca="1" si="5"/>
        <v>0.22070721322502079</v>
      </c>
      <c r="X66" s="2">
        <f t="shared" ca="1" si="3"/>
        <v>1.0979137626485069</v>
      </c>
      <c r="Y66" s="2">
        <v>1</v>
      </c>
      <c r="Z66" s="2" cm="1">
        <f t="array" aca="1" ref="Z66" ca="1">thm_monthly_vol(T66,qi,Di,bi,bf,telf,bterm,tterm)*X66*Y66</f>
        <v>3.6135652732747618</v>
      </c>
      <c r="AA66" s="2">
        <f t="shared" ca="1" si="6"/>
        <v>163.6058154763023</v>
      </c>
      <c r="AB66" s="2" cm="1">
        <f t="array" aca="1" ref="AB66" ca="1">MAX(1, Z66*1000 / DaysPerMonth * X66)</f>
        <v>130.34523353616669</v>
      </c>
      <c r="AC66" s="2" cm="1">
        <f t="array" aca="1" ref="AC66" ca="1">thm_cum($J$6,qi,Di,bi,bf,telf,bterm,tterm)</f>
        <v>483.89964063591248</v>
      </c>
      <c r="AD66" cm="1">
        <f t="array" aca="1" ref="AD66" ca="1">thm_cum_qf($J$2,qi,Di,bi,bf,telf,bterm,tterm)</f>
        <v>513.52890861553044</v>
      </c>
      <c r="AE66" s="2" cm="1">
        <f t="array" aca="1" ref="AE66" ca="1">thm_eur_t($J$6,T66+DaysPerMonth/2,AA66,qi,Di,bi,bf,telf,bterm,tterm)</f>
        <v>460.99652738049144</v>
      </c>
      <c r="AF66" cm="1">
        <f t="array" aca="1" ref="AF66" ca="1">thm_eur_qf($J$2,T66+DaysPerMonth/2,AA66,qi,Di,bi,bf,telf,bterm,tterm)</f>
        <v>490.62579536010935</v>
      </c>
    </row>
    <row r="67" spans="2:32" x14ac:dyDescent="0.25">
      <c r="B67" s="6" cm="1">
        <f t="array" ref="B67">B66+log_interval</f>
        <v>2.0147619563697896</v>
      </c>
      <c r="C67" s="8">
        <f t="shared" si="2"/>
        <v>7.4989420933245556</v>
      </c>
      <c r="D67" s="6">
        <f ca="1"/>
        <v>448.50249338260943</v>
      </c>
      <c r="E67" s="7">
        <f ca="1"/>
        <v>7.2314579754877706E-3</v>
      </c>
      <c r="F67" s="7">
        <f ca="1"/>
        <v>2</v>
      </c>
      <c r="G67" s="8">
        <f ca="1"/>
        <v>3.4597952232433511</v>
      </c>
      <c r="H67" s="20">
        <f t="shared" ca="1" si="7"/>
        <v>3.0615747183030289</v>
      </c>
      <c r="I67" s="2"/>
      <c r="J67" s="2" cm="1">
        <f t="array" aca="1" ref="J67" ca="1">thm_rate($C67,qi,Di,bi,bf,telf,bterm,tterm)</f>
        <v>448.50249338260943</v>
      </c>
      <c r="K67" s="2" cm="1">
        <f t="array" aca="1" ref="K67" ca="1">thm_D($C67,qi,Di,bi,bf,telf,bterm,tterm)</f>
        <v>7.2314579754877706E-3</v>
      </c>
      <c r="L67" s="3" cm="1">
        <f t="array" aca="1" ref="L67" ca="1">thm_D_eff(C67,qi,Di,bi,bf,telf,bterm,tterm)</f>
        <v>0.60103850325545216</v>
      </c>
      <c r="M67" s="2" cm="1">
        <f t="array" aca="1" ref="M67" ca="1">thm_b(C67,qi,Di,bi,bf,telf,bterm,tterm)</f>
        <v>2</v>
      </c>
      <c r="N67" s="2" cm="1">
        <f t="array" aca="1" ref="N67" ca="1">thm_monthly_vol(C67,qi,Di,bi,bf,telf,bterm,tterm)</f>
        <v>14.042983103071652</v>
      </c>
      <c r="O67" s="2" cm="1">
        <f t="array" aca="1" ref="O67" ca="1">thm_cum($C67,qi,Di,bi,bf,telf,bterm,tterm)</f>
        <v>3.4597952232433511</v>
      </c>
      <c r="Q67" cm="1">
        <f t="array" aca="1" ref="Q67" ca="1">thm_rate(C67,$F$3,$F$4,$F$5,$F$6,$F$7,$F$8,$F$9)</f>
        <v>249.76001754716091</v>
      </c>
      <c r="R67" s="2" cm="1">
        <f t="array" aca="1" ref="R67" ca="1">thm_cum($C67,$F$3,$F$4,$F$5,$F$6,$F$7,$F$8,$F$9)*$P$3/thm_cum($P$2,$F$3,$F$4,$F$5,$F$6,$F$7,$F$8,$F$9)</f>
        <v>1.8698375084077696</v>
      </c>
      <c r="T67" s="2"/>
      <c r="U67" s="2"/>
      <c r="V67" s="2"/>
      <c r="W67" s="2"/>
      <c r="X67" s="2"/>
      <c r="Y67" s="2"/>
      <c r="Z67" s="2"/>
      <c r="AA67" s="2"/>
    </row>
    <row r="68" spans="2:32" x14ac:dyDescent="0.25">
      <c r="B68" s="6" cm="1">
        <f t="array" ref="B68">B67+log_interval</f>
        <v>2.072326583694641</v>
      </c>
      <c r="C68" s="8">
        <f t="shared" si="2"/>
        <v>7.943282347242814</v>
      </c>
      <c r="D68" s="6">
        <f ca="1"/>
        <v>447.06826174913903</v>
      </c>
      <c r="E68" s="7">
        <f ca="1"/>
        <v>7.1852820781893659E-3</v>
      </c>
      <c r="F68" s="7">
        <f ca="1"/>
        <v>2</v>
      </c>
      <c r="G68" s="8">
        <f ca="1"/>
        <v>3.6587637813132776</v>
      </c>
      <c r="H68" s="20">
        <f t="shared" ca="1" si="7"/>
        <v>3.2376421060581477</v>
      </c>
      <c r="I68" s="2"/>
      <c r="J68" s="2" cm="1">
        <f t="array" aca="1" ref="J68" ca="1">thm_rate($C68,qi,Di,bi,bf,telf,bterm,tterm)</f>
        <v>447.06826174913903</v>
      </c>
      <c r="K68" s="2" cm="1">
        <f t="array" aca="1" ref="K68" ca="1">thm_D($C68,qi,Di,bi,bf,telf,bterm,tterm)</f>
        <v>7.1852820781893659E-3</v>
      </c>
      <c r="L68" s="3" cm="1">
        <f t="array" aca="1" ref="L68" ca="1">thm_D_eff(C68,qi,Di,bi,bf,telf,bterm,tterm)</f>
        <v>0.59996314876783019</v>
      </c>
      <c r="M68" s="2" cm="1">
        <f t="array" aca="1" ref="M68" ca="1">thm_b(C68,qi,Di,bi,bf,telf,bterm,tterm)</f>
        <v>2</v>
      </c>
      <c r="N68" s="2" cm="1">
        <f t="array" aca="1" ref="N68" ca="1">thm_monthly_vol(C68,qi,Di,bi,bf,telf,bterm,tterm)</f>
        <v>14.019849443269282</v>
      </c>
      <c r="O68" s="2" cm="1">
        <f t="array" aca="1" ref="O68" ca="1">thm_cum($C68,qi,Di,bi,bf,telf,bterm,tterm)</f>
        <v>3.6587637813132776</v>
      </c>
      <c r="Q68" cm="1">
        <f t="array" aca="1" ref="Q68" ca="1">thm_rate(C68,$F$3,$F$4,$F$5,$F$6,$F$7,$F$8,$F$9)</f>
        <v>249.62798723667291</v>
      </c>
      <c r="R68" s="2" cm="1">
        <f t="array" aca="1" ref="R68" ca="1">thm_cum($C68,$F$3,$F$4,$F$5,$F$6,$F$7,$F$8,$F$9)*$P$3/thm_cum($P$2,$F$3,$F$4,$F$5,$F$6,$F$7,$F$8,$F$9)</f>
        <v>1.9801083008431193</v>
      </c>
      <c r="T68" s="2"/>
      <c r="U68" s="2"/>
      <c r="V68" s="2"/>
      <c r="W68" s="2"/>
      <c r="X68" s="2"/>
      <c r="Y68" s="2"/>
      <c r="Z68" s="2"/>
      <c r="AA68" s="2"/>
    </row>
    <row r="69" spans="2:32" x14ac:dyDescent="0.25">
      <c r="B69" s="6" cm="1">
        <f t="array" ref="B69">B68+log_interval</f>
        <v>2.1298912110194923</v>
      </c>
      <c r="C69" s="8">
        <f t="shared" si="2"/>
        <v>8.4139514164519511</v>
      </c>
      <c r="D69" s="6">
        <f ca="1"/>
        <v>445.56395287698996</v>
      </c>
      <c r="E69" s="7">
        <f ca="1"/>
        <v>7.1370089196030788E-3</v>
      </c>
      <c r="F69" s="7">
        <f ca="1"/>
        <v>2</v>
      </c>
      <c r="G69" s="8">
        <f ca="1"/>
        <v>3.8688303715100187</v>
      </c>
      <c r="H69" s="20">
        <f t="shared" ca="1" si="7"/>
        <v>3.4235301486179517</v>
      </c>
      <c r="I69" s="2"/>
      <c r="J69" s="2" cm="1">
        <f t="array" aca="1" ref="J69" ca="1">thm_rate($C69,qi,Di,bi,bf,telf,bterm,tterm)</f>
        <v>445.56395287698996</v>
      </c>
      <c r="K69" s="2" cm="1">
        <f t="array" aca="1" ref="K69" ca="1">thm_D($C69,qi,Di,bi,bf,telf,bterm,tterm)</f>
        <v>7.1370089196030788E-3</v>
      </c>
      <c r="L69" s="3" cm="1">
        <f t="array" aca="1" ref="L69" ca="1">thm_D_eff(C69,qi,Di,bi,bf,telf,bterm,tterm)</f>
        <v>0.59882960361827853</v>
      </c>
      <c r="M69" s="2" cm="1">
        <f t="array" aca="1" ref="M69" ca="1">thm_b(C69,qi,Di,bi,bf,telf,bterm,tterm)</f>
        <v>2</v>
      </c>
      <c r="N69" s="2" cm="1">
        <f t="array" aca="1" ref="N69" ca="1">thm_monthly_vol(C69,qi,Di,bi,bf,telf,bterm,tterm)</f>
        <v>13.995508008589495</v>
      </c>
      <c r="O69" s="2" cm="1">
        <f t="array" aca="1" ref="O69" ca="1">thm_cum($C69,qi,Di,bi,bf,telf,bterm,tterm)</f>
        <v>3.8688303715100187</v>
      </c>
      <c r="Q69" cm="1">
        <f t="array" aca="1" ref="Q69" ca="1">thm_rate(C69,$F$3,$F$4,$F$5,$F$6,$F$7,$F$8,$F$9)</f>
        <v>249.48826983441737</v>
      </c>
      <c r="R69" s="2" cm="1">
        <f t="array" aca="1" ref="R69" ca="1">thm_cum($C69,$F$3,$F$4,$F$5,$F$6,$F$7,$F$8,$F$9)*$P$3/thm_cum($P$2,$F$3,$F$4,$F$5,$F$6,$F$7,$F$8,$F$9)</f>
        <v>2.096849487275561</v>
      </c>
      <c r="T69" s="2"/>
      <c r="U69" s="2"/>
      <c r="V69" s="2"/>
      <c r="W69" s="2"/>
      <c r="X69" s="2"/>
      <c r="Y69" s="2"/>
      <c r="Z69" s="2"/>
      <c r="AA69" s="2"/>
    </row>
    <row r="70" spans="2:32" x14ac:dyDescent="0.25">
      <c r="B70" s="6" cm="1">
        <f t="array" ref="B70">B69+log_interval</f>
        <v>2.1874558383443437</v>
      </c>
      <c r="C70" s="8">
        <f t="shared" si="2"/>
        <v>8.9125093813374576</v>
      </c>
      <c r="D70" s="6">
        <f ca="1"/>
        <v>443.98695356138421</v>
      </c>
      <c r="E70" s="7">
        <f ca="1"/>
        <v>7.0865778180371312E-3</v>
      </c>
      <c r="F70" s="7">
        <f ca="1"/>
        <v>2</v>
      </c>
      <c r="G70" s="8">
        <f ca="1"/>
        <v>4.0905760193861251</v>
      </c>
      <c r="H70" s="20">
        <f t="shared" ca="1" si="7"/>
        <v>3.6197529958172128</v>
      </c>
      <c r="I70" s="2"/>
      <c r="J70" s="2" cm="1">
        <f t="array" aca="1" ref="J70" ca="1">thm_rate($C70,qi,Di,bi,bf,telf,bterm,tterm)</f>
        <v>443.98695356138421</v>
      </c>
      <c r="K70" s="2" cm="1">
        <f t="array" aca="1" ref="K70" ca="1">thm_D($C70,qi,Di,bi,bf,telf,bterm,tterm)</f>
        <v>7.0865778180371312E-3</v>
      </c>
      <c r="L70" s="3" cm="1">
        <f t="array" aca="1" ref="L70" ca="1">thm_D_eff(C70,qi,Di,bi,bf,telf,bterm,tterm)</f>
        <v>0.59763503319894018</v>
      </c>
      <c r="M70" s="2" cm="1">
        <f t="array" aca="1" ref="M70" ca="1">thm_b(C70,qi,Di,bi,bf,telf,bterm,tterm)</f>
        <v>2</v>
      </c>
      <c r="N70" s="2" cm="1">
        <f t="array" aca="1" ref="N70" ca="1">thm_monthly_vol(C70,qi,Di,bi,bf,telf,bterm,tterm)</f>
        <v>13.969904800412229</v>
      </c>
      <c r="O70" s="2" cm="1">
        <f t="array" aca="1" ref="O70" ca="1">thm_cum($C70,qi,Di,bi,bf,telf,bterm,tterm)</f>
        <v>4.0905760193861251</v>
      </c>
      <c r="Q70" cm="1">
        <f t="array" aca="1" ref="Q70" ca="1">thm_rate(C70,$F$3,$F$4,$F$5,$F$6,$F$7,$F$8,$F$9)</f>
        <v>249.34042624918348</v>
      </c>
      <c r="R70" s="2" cm="1">
        <f t="array" aca="1" ref="R70" ca="1">thm_cum($C70,$F$3,$F$4,$F$5,$F$6,$F$7,$F$8,$F$9)*$P$3/thm_cum($P$2,$F$3,$F$4,$F$5,$F$6,$F$7,$F$8,$F$9)</f>
        <v>2.2204367785208525</v>
      </c>
      <c r="T70" s="2"/>
      <c r="U70" s="2"/>
      <c r="V70" s="2"/>
      <c r="W70" s="2"/>
      <c r="X70" s="2"/>
      <c r="Y70" s="2"/>
      <c r="Z70" s="2"/>
      <c r="AA70" s="2"/>
    </row>
    <row r="71" spans="2:32" x14ac:dyDescent="0.25">
      <c r="B71" s="6" cm="1">
        <f t="array" ref="B71">B70+log_interval</f>
        <v>2.245020465669195</v>
      </c>
      <c r="C71" s="8">
        <f t="shared" si="2"/>
        <v>9.4406087628592381</v>
      </c>
      <c r="D71" s="6">
        <f ca="1"/>
        <v>442.33463879084314</v>
      </c>
      <c r="E71" s="7">
        <f ca="1"/>
        <v>7.0339300144076919E-3</v>
      </c>
      <c r="F71" s="7">
        <f ca="1"/>
        <v>2</v>
      </c>
      <c r="G71" s="8">
        <f ca="1"/>
        <v>4.3246081484068775</v>
      </c>
      <c r="H71" s="20">
        <f t="shared" ca="1" si="7"/>
        <v>3.8268481570183677</v>
      </c>
      <c r="I71" s="2"/>
      <c r="J71" s="2" cm="1">
        <f t="array" aca="1" ref="J71" ca="1">thm_rate($C71,qi,Di,bi,bf,telf,bterm,tterm)</f>
        <v>442.33463879084314</v>
      </c>
      <c r="K71" s="2" cm="1">
        <f t="array" aca="1" ref="K71" ca="1">thm_D($C71,qi,Di,bi,bf,telf,bterm,tterm)</f>
        <v>7.0339300144076919E-3</v>
      </c>
      <c r="L71" s="3" cm="1">
        <f t="array" aca="1" ref="L71" ca="1">thm_D_eff(C71,qi,Di,bi,bf,telf,bterm,tterm)</f>
        <v>0.59637649946574933</v>
      </c>
      <c r="M71" s="2" cm="1">
        <f t="array" aca="1" ref="M71" ca="1">thm_b(C71,qi,Di,bi,bf,telf,bterm,tterm)</f>
        <v>2</v>
      </c>
      <c r="N71" s="2" cm="1">
        <f t="array" aca="1" ref="N71" ca="1">thm_monthly_vol(C71,qi,Di,bi,bf,telf,bterm,tterm)</f>
        <v>13.942984379883148</v>
      </c>
      <c r="O71" s="2" cm="1">
        <f t="array" aca="1" ref="O71" ca="1">thm_cum($C71,qi,Di,bi,bf,telf,bterm,tterm)</f>
        <v>4.3246081484068775</v>
      </c>
      <c r="Q71" cm="1">
        <f t="array" aca="1" ref="Q71" ca="1">thm_rate(C71,$F$3,$F$4,$F$5,$F$6,$F$7,$F$8,$F$9)</f>
        <v>249.18399333166863</v>
      </c>
      <c r="R71" s="2" cm="1">
        <f t="array" aca="1" ref="R71" ca="1">thm_cum($C71,$F$3,$F$4,$F$5,$F$6,$F$7,$F$8,$F$9)*$P$3/thm_cum($P$2,$F$3,$F$4,$F$5,$F$6,$F$7,$F$8,$F$9)</f>
        <v>2.3512672234078056</v>
      </c>
      <c r="T71" s="2"/>
      <c r="U71" s="2"/>
      <c r="V71" s="2"/>
      <c r="W71" s="2"/>
      <c r="X71" s="2"/>
      <c r="Y71" s="2"/>
      <c r="Z71" s="2"/>
      <c r="AA71" s="2"/>
    </row>
    <row r="72" spans="2:32" x14ac:dyDescent="0.25">
      <c r="B72" s="6" cm="1">
        <f t="array" ref="B72">B71+log_interval</f>
        <v>2.3025850929940463</v>
      </c>
      <c r="C72" s="8">
        <f t="shared" si="2"/>
        <v>10.000000000000007</v>
      </c>
      <c r="D72" s="6">
        <f ca="1"/>
        <v>440.60438180738691</v>
      </c>
      <c r="E72" s="7">
        <f ca="1"/>
        <v>6.9790091373142064E-3</v>
      </c>
      <c r="F72" s="7">
        <f ca="1"/>
        <v>2</v>
      </c>
      <c r="G72" s="8">
        <f ca="1"/>
        <v>4.5715613755665974</v>
      </c>
      <c r="H72" s="20">
        <f t="shared" ca="1" si="7"/>
        <v>4.0453772051528345</v>
      </c>
      <c r="I72" s="2"/>
      <c r="J72" s="2" cm="1">
        <f t="array" aca="1" ref="J72" ca="1">thm_rate($C72,qi,Di,bi,bf,telf,bterm,tterm)</f>
        <v>440.60438180738691</v>
      </c>
      <c r="K72" s="2" cm="1">
        <f t="array" aca="1" ref="K72" ca="1">thm_D($C72,qi,Di,bi,bf,telf,bterm,tterm)</f>
        <v>6.9790091373142064E-3</v>
      </c>
      <c r="L72" s="3" cm="1">
        <f t="array" aca="1" ref="L72" ca="1">thm_D_eff(C72,qi,Di,bi,bf,telf,bterm,tterm)</f>
        <v>0.59505096101141064</v>
      </c>
      <c r="M72" s="2" cm="1">
        <f t="array" aca="1" ref="M72" ca="1">thm_b(C72,qi,Di,bi,bf,telf,bterm,tterm)</f>
        <v>2</v>
      </c>
      <c r="N72" s="2" cm="1">
        <f t="array" aca="1" ref="N72" ca="1">thm_monthly_vol(C72,qi,Di,bi,bf,telf,bterm,tterm)</f>
        <v>13.914689936880823</v>
      </c>
      <c r="O72" s="2" cm="1">
        <f t="array" aca="1" ref="O72" ca="1">thm_cum($C72,qi,Di,bi,bf,telf,bterm,tterm)</f>
        <v>4.5715613755665974</v>
      </c>
      <c r="Q72" cm="1">
        <f t="array" aca="1" ref="Q72" ca="1">thm_rate(C72,$F$3,$F$4,$F$5,$F$6,$F$7,$F$8,$F$9)</f>
        <v>249.01848268044699</v>
      </c>
      <c r="R72" s="2" cm="1">
        <f t="array" aca="1" ref="R72" ca="1">thm_cum($C72,$F$3,$F$4,$F$5,$F$6,$F$7,$F$8,$F$9)*$P$3/thm_cum($P$2,$F$3,$F$4,$F$5,$F$6,$F$7,$F$8,$F$9)</f>
        <v>2.4897603628444047</v>
      </c>
      <c r="T72" s="2"/>
      <c r="U72" s="2"/>
      <c r="V72" s="2"/>
      <c r="W72" s="2"/>
      <c r="X72" s="2"/>
      <c r="Y72" s="2"/>
      <c r="Z72" s="2"/>
      <c r="AA72" s="2"/>
    </row>
    <row r="73" spans="2:32" x14ac:dyDescent="0.25">
      <c r="B73" s="6" cm="1">
        <f t="array" ref="B73">B72+log_interval</f>
        <v>2.3601497203188977</v>
      </c>
      <c r="C73" s="8">
        <f t="shared" si="2"/>
        <v>10.592537251772898</v>
      </c>
      <c r="D73" s="6">
        <f ca="1"/>
        <v>438.79356517736477</v>
      </c>
      <c r="E73" s="7">
        <f ca="1"/>
        <v>6.9217616980760165E-3</v>
      </c>
      <c r="F73" s="7">
        <f ca="1"/>
        <v>2</v>
      </c>
      <c r="G73" s="8">
        <f ca="1"/>
        <v>4.8320982922148925</v>
      </c>
      <c r="H73" s="20">
        <f t="shared" ca="1" si="7"/>
        <v>4.2759264676745889</v>
      </c>
      <c r="I73" s="2"/>
      <c r="J73" s="2" cm="1">
        <f t="array" aca="1" ref="J73" ca="1">thm_rate($C73,qi,Di,bi,bf,telf,bterm,tterm)</f>
        <v>438.79356517736477</v>
      </c>
      <c r="K73" s="2" cm="1">
        <f t="array" aca="1" ref="K73" ca="1">thm_D($C73,qi,Di,bi,bf,telf,bterm,tterm)</f>
        <v>6.9217616980760165E-3</v>
      </c>
      <c r="L73" s="3" cm="1">
        <f t="array" aca="1" ref="L73" ca="1">thm_D_eff(C73,qi,Di,bi,bf,telf,bterm,tterm)</f>
        <v>0.59365527364491733</v>
      </c>
      <c r="M73" s="2" cm="1">
        <f t="array" aca="1" ref="M73" ca="1">thm_b(C73,qi,Di,bi,bf,telf,bterm,tterm)</f>
        <v>2</v>
      </c>
      <c r="N73" s="2" cm="1">
        <f t="array" aca="1" ref="N73" ca="1">thm_monthly_vol(C73,qi,Di,bi,bf,telf,bterm,tterm)</f>
        <v>13.884963373121408</v>
      </c>
      <c r="O73" s="2" cm="1">
        <f t="array" aca="1" ref="O73" ca="1">thm_cum($C73,qi,Di,bi,bf,telf,bterm,tterm)</f>
        <v>4.8320982922148925</v>
      </c>
      <c r="Q73" cm="1">
        <f t="array" aca="1" ref="Q73" ca="1">thm_rate(C73,$F$3,$F$4,$F$5,$F$6,$F$7,$F$8,$F$9)</f>
        <v>248.8433794040314</v>
      </c>
      <c r="R73" s="2" cm="1">
        <f t="array" aca="1" ref="R73" ca="1">thm_cum($C73,$F$3,$F$4,$F$5,$F$6,$F$7,$F$8,$F$9)*$P$3/thm_cum($P$2,$F$3,$F$4,$F$5,$F$6,$F$7,$F$8,$F$9)</f>
        <v>2.636359439268201</v>
      </c>
      <c r="T73" s="2"/>
      <c r="U73" s="2"/>
      <c r="V73" s="2"/>
      <c r="W73" s="2"/>
      <c r="X73" s="2"/>
      <c r="Y73" s="2"/>
      <c r="Z73" s="2"/>
      <c r="AA73" s="2"/>
    </row>
    <row r="74" spans="2:32" x14ac:dyDescent="0.25">
      <c r="B74" s="6" cm="1">
        <f t="array" ref="B74">B73+log_interval</f>
        <v>2.417714347643749</v>
      </c>
      <c r="C74" s="8">
        <f t="shared" si="2"/>
        <v>11.220184543019647</v>
      </c>
      <c r="D74" s="6">
        <f ca="1"/>
        <v>436.89959288425359</v>
      </c>
      <c r="E74" s="7">
        <f ca="1"/>
        <v>6.862137613937426E-3</v>
      </c>
      <c r="F74" s="7">
        <f ca="1"/>
        <v>2</v>
      </c>
      <c r="G74" s="8">
        <f ca="1"/>
        <v>5.1069102259989876</v>
      </c>
      <c r="H74" s="20">
        <f t="shared" ca="1" si="7"/>
        <v>4.5191077008033602</v>
      </c>
      <c r="I74" s="2"/>
      <c r="J74" s="2" cm="1">
        <f t="array" aca="1" ref="J74" ca="1">thm_rate($C74,qi,Di,bi,bf,telf,bterm,tterm)</f>
        <v>436.89959288425359</v>
      </c>
      <c r="K74" s="2" cm="1">
        <f t="array" aca="1" ref="K74" ca="1">thm_D($C74,qi,Di,bi,bf,telf,bterm,tterm)</f>
        <v>6.862137613937426E-3</v>
      </c>
      <c r="L74" s="3" cm="1">
        <f t="array" aca="1" ref="L74" ca="1">thm_D_eff(C74,qi,Di,bi,bf,telf,bterm,tterm)</f>
        <v>0.59218619153361496</v>
      </c>
      <c r="M74" s="2" cm="1">
        <f t="array" aca="1" ref="M74" ca="1">thm_b(C74,qi,Di,bi,bf,telf,bterm,tterm)</f>
        <v>2</v>
      </c>
      <c r="N74" s="2" cm="1">
        <f t="array" aca="1" ref="N74" ca="1">thm_monthly_vol(C74,qi,Di,bi,bf,telf,bterm,tterm)</f>
        <v>13.853745400341765</v>
      </c>
      <c r="O74" s="2" cm="1">
        <f t="array" aca="1" ref="O74" ca="1">thm_cum($C74,qi,Di,bi,bf,telf,bterm,tterm)</f>
        <v>5.1069102259989876</v>
      </c>
      <c r="Q74" cm="1">
        <f t="array" aca="1" ref="Q74" ca="1">thm_rate(C74,$F$3,$F$4,$F$5,$F$6,$F$7,$F$8,$F$9)</f>
        <v>248.65814083944633</v>
      </c>
      <c r="R74" s="2" cm="1">
        <f t="array" aca="1" ref="R74" ca="1">thm_cum($C74,$F$3,$F$4,$F$5,$F$6,$F$7,$F$8,$F$9)*$P$3/thm_cum($P$2,$F$3,$F$4,$F$5,$F$6,$F$7,$F$8,$F$9)</f>
        <v>2.7915326632630939</v>
      </c>
      <c r="T74" s="2"/>
      <c r="U74" s="2"/>
      <c r="V74" s="2"/>
      <c r="W74" s="2"/>
      <c r="X74" s="2"/>
      <c r="Y74" s="2"/>
      <c r="Z74" s="2"/>
      <c r="AA74" s="2"/>
    </row>
    <row r="75" spans="2:32" x14ac:dyDescent="0.25">
      <c r="B75" s="6" cm="1">
        <f t="array" ref="B75">B74+log_interval</f>
        <v>2.4752789749686004</v>
      </c>
      <c r="C75" s="8">
        <f t="shared" si="2"/>
        <v>11.885022274370199</v>
      </c>
      <c r="D75" s="6">
        <f ca="1"/>
        <v>434.9199034429501</v>
      </c>
      <c r="E75" s="7">
        <f ca="1"/>
        <v>6.8000907569858013E-3</v>
      </c>
      <c r="F75" s="7">
        <f ca="1"/>
        <v>2</v>
      </c>
      <c r="G75" s="8">
        <f ca="1"/>
        <v>5.3967179796885958</v>
      </c>
      <c r="H75" s="20">
        <f t="shared" ca="1" si="7"/>
        <v>4.7755587433111693</v>
      </c>
      <c r="I75" s="2"/>
      <c r="J75" s="2" cm="1">
        <f t="array" aca="1" ref="J75" ca="1">thm_rate($C75,qi,Di,bi,bf,telf,bterm,tterm)</f>
        <v>434.9199034429501</v>
      </c>
      <c r="K75" s="2" cm="1">
        <f t="array" aca="1" ref="K75" ca="1">thm_D($C75,qi,Di,bi,bf,telf,bterm,tterm)</f>
        <v>6.8000907569858013E-3</v>
      </c>
      <c r="L75" s="3" cm="1">
        <f t="array" aca="1" ref="L75" ca="1">thm_D_eff(C75,qi,Di,bi,bf,telf,bterm,tterm)</f>
        <v>0.59064036896613648</v>
      </c>
      <c r="M75" s="2" cm="1">
        <f t="array" aca="1" ref="M75" ca="1">thm_b(C75,qi,Di,bi,bf,telf,bterm,tterm)</f>
        <v>2</v>
      </c>
      <c r="N75" s="2" cm="1">
        <f t="array" aca="1" ref="N75" ca="1">thm_monthly_vol(C75,qi,Di,bi,bf,telf,bterm,tterm)</f>
        <v>13.820975654458847</v>
      </c>
      <c r="O75" s="2" cm="1">
        <f t="array" aca="1" ref="O75" ca="1">thm_cum($C75,qi,Di,bi,bf,telf,bterm,tterm)</f>
        <v>5.3967179796885958</v>
      </c>
      <c r="Q75" cm="1">
        <f t="array" aca="1" ref="Q75" ca="1">thm_rate(C75,$F$3,$F$4,$F$5,$F$6,$F$7,$F$8,$F$9)</f>
        <v>248.46219522807689</v>
      </c>
      <c r="R75" s="2" cm="1">
        <f t="array" aca="1" ref="R75" ca="1">thm_cum($C75,$F$3,$F$4,$F$5,$F$6,$F$7,$F$8,$F$9)*$P$3/thm_cum($P$2,$F$3,$F$4,$F$5,$F$6,$F$7,$F$8,$F$9)</f>
        <v>2.9557745390596541</v>
      </c>
      <c r="T75" s="2"/>
      <c r="U75" s="2"/>
      <c r="V75" s="2"/>
      <c r="W75" s="2"/>
      <c r="X75" s="2"/>
      <c r="Y75" s="2"/>
      <c r="Z75" s="2"/>
      <c r="AA75" s="2"/>
    </row>
    <row r="76" spans="2:32" x14ac:dyDescent="0.25">
      <c r="B76" s="6" cm="1">
        <f t="array" ref="B76">B75+log_interval</f>
        <v>2.5328436022934517</v>
      </c>
      <c r="C76" s="8">
        <f t="shared" si="2"/>
        <v>12.589254117941691</v>
      </c>
      <c r="D76" s="6">
        <f ca="1"/>
        <v>432.85198402152838</v>
      </c>
      <c r="E76" s="7">
        <f ca="1"/>
        <v>6.7355795256096307E-3</v>
      </c>
      <c r="F76" s="7">
        <f ca="1"/>
        <v>2</v>
      </c>
      <c r="G76" s="8">
        <f ca="1"/>
        <v>5.7022725425518122</v>
      </c>
      <c r="H76" s="20">
        <f t="shared" ca="1" si="7"/>
        <v>5.0459441460192531</v>
      </c>
      <c r="I76" s="2"/>
      <c r="J76" s="2" cm="1">
        <f t="array" aca="1" ref="J76" ca="1">thm_rate($C76,qi,Di,bi,bf,telf,bterm,tterm)</f>
        <v>432.85198402152838</v>
      </c>
      <c r="K76" s="2" cm="1">
        <f t="array" aca="1" ref="K76" ca="1">thm_D($C76,qi,Di,bi,bf,telf,bterm,tterm)</f>
        <v>6.7355795256096307E-3</v>
      </c>
      <c r="L76" s="3" cm="1">
        <f t="array" aca="1" ref="L76" ca="1">thm_D_eff(C76,qi,Di,bi,bf,telf,bterm,tterm)</f>
        <v>0.58901436279652775</v>
      </c>
      <c r="M76" s="2" cm="1">
        <f t="array" aca="1" ref="M76" ca="1">thm_b(C76,qi,Di,bi,bf,telf,bterm,tterm)</f>
        <v>2</v>
      </c>
      <c r="N76" s="2" cm="1">
        <f t="array" aca="1" ref="N76" ca="1">thm_monthly_vol(C76,qi,Di,bi,bf,telf,bterm,tterm)</f>
        <v>13.786592826541327</v>
      </c>
      <c r="O76" s="2" cm="1">
        <f t="array" aca="1" ref="O76" ca="1">thm_cum($C76,qi,Di,bi,bf,telf,bterm,tterm)</f>
        <v>5.7022725425518122</v>
      </c>
      <c r="Q76" cm="1">
        <f t="array" aca="1" ref="Q76" ca="1">thm_rate(C76,$F$3,$F$4,$F$5,$F$6,$F$7,$F$8,$F$9)</f>
        <v>248.25494034995842</v>
      </c>
      <c r="R76" s="2" cm="1">
        <f t="array" aca="1" ref="R76" ca="1">thm_cum($C76,$F$3,$F$4,$F$5,$F$6,$F$7,$F$8,$F$9)*$P$3/thm_cum($P$2,$F$3,$F$4,$F$5,$F$6,$F$7,$F$8,$F$9)</f>
        <v>3.1296072505546384</v>
      </c>
      <c r="T76" s="2"/>
      <c r="U76" s="2"/>
      <c r="V76" s="2"/>
      <c r="W76" s="2"/>
      <c r="X76" s="2"/>
      <c r="Y76" s="2"/>
      <c r="Z76" s="2"/>
      <c r="AA76" s="2"/>
    </row>
    <row r="77" spans="2:32" x14ac:dyDescent="0.25">
      <c r="B77" s="6" cm="1">
        <f t="array" ref="B77">B76+log_interval</f>
        <v>2.5904082296183031</v>
      </c>
      <c r="C77" s="8">
        <f t="shared" si="2"/>
        <v>13.335214321633263</v>
      </c>
      <c r="D77" s="6">
        <f ca="1"/>
        <v>430.69338554115819</v>
      </c>
      <c r="E77" s="7">
        <f ca="1"/>
        <v>6.6685674345588171E-3</v>
      </c>
      <c r="F77" s="7">
        <f ca="1"/>
        <v>2</v>
      </c>
      <c r="G77" s="8">
        <f ca="1"/>
        <v>6.0243557699010664</v>
      </c>
      <c r="H77" s="20">
        <f t="shared" ca="1" si="7"/>
        <v>5.3309557731286548</v>
      </c>
      <c r="I77" s="2"/>
      <c r="J77" s="2" cm="1">
        <f t="array" aca="1" ref="J77" ca="1">thm_rate($C77,qi,Di,bi,bf,telf,bterm,tterm)</f>
        <v>430.69338554115819</v>
      </c>
      <c r="K77" s="2" cm="1">
        <f t="array" aca="1" ref="K77" ca="1">thm_D($C77,qi,Di,bi,bf,telf,bterm,tterm)</f>
        <v>6.6685674345588171E-3</v>
      </c>
      <c r="L77" s="3" cm="1">
        <f t="array" aca="1" ref="L77" ca="1">thm_D_eff(C77,qi,Di,bi,bf,telf,bterm,tterm)</f>
        <v>0.58730463563146684</v>
      </c>
      <c r="M77" s="2" cm="1">
        <f t="array" aca="1" ref="M77" ca="1">thm_b(C77,qi,Di,bi,bf,telf,bterm,tterm)</f>
        <v>2</v>
      </c>
      <c r="N77" s="2" cm="1">
        <f t="array" aca="1" ref="N77" ca="1">thm_monthly_vol(C77,qi,Di,bi,bf,telf,bterm,tterm)</f>
        <v>13.750534811344934</v>
      </c>
      <c r="O77" s="2" cm="1">
        <f t="array" aca="1" ref="O77" ca="1">thm_cum($C77,qi,Di,bi,bf,telf,bterm,tterm)</f>
        <v>6.0243557699010664</v>
      </c>
      <c r="Q77" cm="1">
        <f t="array" aca="1" ref="Q77" ca="1">thm_rate(C77,$F$3,$F$4,$F$5,$F$6,$F$7,$F$8,$F$9)</f>
        <v>248.03574211812432</v>
      </c>
      <c r="R77" s="2" cm="1">
        <f t="array" aca="1" ref="R77" ca="1">thm_cum($C77,$F$3,$F$4,$F$5,$F$6,$F$7,$F$8,$F$9)*$P$3/thm_cum($P$2,$F$3,$F$4,$F$5,$F$6,$F$7,$F$8,$F$9)</f>
        <v>3.3135821093741646</v>
      </c>
      <c r="U77" s="2"/>
      <c r="V77" s="2"/>
      <c r="W77" s="2"/>
      <c r="X77" s="2"/>
      <c r="Y77" s="2"/>
      <c r="Z77" s="2"/>
      <c r="AA77" s="2"/>
    </row>
    <row r="78" spans="2:32" x14ac:dyDescent="0.25">
      <c r="B78" s="6" cm="1">
        <f t="array" ref="B78">B77+log_interval</f>
        <v>2.6479728569431544</v>
      </c>
      <c r="C78" s="8">
        <f t="shared" si="2"/>
        <v>14.12537544622757</v>
      </c>
      <c r="D78" s="6">
        <f ca="1"/>
        <v>428.44173870793458</v>
      </c>
      <c r="E78" s="7">
        <f ca="1"/>
        <v>6.5990237188688324E-3</v>
      </c>
      <c r="F78" s="7">
        <f ca="1"/>
        <v>2</v>
      </c>
      <c r="G78" s="8">
        <f ca="1"/>
        <v>6.3637810264360031</v>
      </c>
      <c r="H78" s="20">
        <f t="shared" ca="1" si="7"/>
        <v>5.6313133715146995</v>
      </c>
      <c r="I78" s="2"/>
      <c r="J78" s="2" cm="1">
        <f t="array" aca="1" ref="J78" ca="1">thm_rate($C78,qi,Di,bi,bf,telf,bterm,tterm)</f>
        <v>428.44173870793458</v>
      </c>
      <c r="K78" s="2" cm="1">
        <f t="array" aca="1" ref="K78" ca="1">thm_D($C78,qi,Di,bi,bf,telf,bterm,tterm)</f>
        <v>6.5990237188688324E-3</v>
      </c>
      <c r="L78" s="3" cm="1">
        <f t="array" aca="1" ref="L78" ca="1">thm_D_eff(C78,qi,Di,bi,bf,telf,bterm,tterm)</f>
        <v>0.58550755982357616</v>
      </c>
      <c r="M78" s="2" cm="1">
        <f t="array" aca="1" ref="M78" ca="1">thm_b(C78,qi,Di,bi,bf,telf,bterm,tterm)</f>
        <v>2</v>
      </c>
      <c r="N78" s="2" cm="1">
        <f t="array" aca="1" ref="N78" ca="1">thm_monthly_vol(C78,qi,Di,bi,bf,telf,bterm,tterm)</f>
        <v>13.712738874057765</v>
      </c>
      <c r="O78" s="2" cm="1">
        <f t="array" aca="1" ref="O78" ca="1">thm_cum($C78,qi,Di,bi,bf,telf,bterm,tterm)</f>
        <v>6.3637810264360031</v>
      </c>
      <c r="Q78" cm="1">
        <f t="array" aca="1" ref="Q78" ca="1">thm_rate(C78,$F$3,$F$4,$F$5,$F$6,$F$7,$F$8,$F$9)</f>
        <v>247.80393313515322</v>
      </c>
      <c r="R78" s="2" cm="1">
        <f t="array" aca="1" ref="R78" ca="1">thm_cum($C78,$F$3,$F$4,$F$5,$F$6,$F$7,$F$8,$F$9)*$P$3/thm_cum($P$2,$F$3,$F$4,$F$5,$F$6,$F$7,$F$8,$F$9)</f>
        <v>3.5082810663740651</v>
      </c>
      <c r="U78" s="2"/>
      <c r="V78" s="2"/>
      <c r="W78" s="2"/>
      <c r="X78" s="2"/>
      <c r="Y78" s="2"/>
      <c r="Z78" s="2"/>
      <c r="AA78" s="2"/>
    </row>
    <row r="79" spans="2:32" x14ac:dyDescent="0.25">
      <c r="B79" s="6" cm="1">
        <f t="array" ref="B79">B78+log_interval</f>
        <v>2.7055374842680058</v>
      </c>
      <c r="C79" s="8">
        <f t="shared" si="2"/>
        <v>14.962356560944366</v>
      </c>
      <c r="D79" s="6">
        <f ca="1"/>
        <v>426.09477091188364</v>
      </c>
      <c r="E79" s="7">
        <f ca="1"/>
        <v>6.5269239460878994E-3</v>
      </c>
      <c r="F79" s="7">
        <f ca="1"/>
        <v>2</v>
      </c>
      <c r="G79" s="8">
        <f ca="1"/>
        <v>6.7213937890811524</v>
      </c>
      <c r="H79" s="20">
        <f t="shared" ca="1" si="7"/>
        <v>5.9477651041783819</v>
      </c>
      <c r="I79" s="2"/>
      <c r="J79" s="2" cm="1">
        <f t="array" aca="1" ref="J79" ca="1">thm_rate($C79,qi,Di,bi,bf,telf,bterm,tterm)</f>
        <v>426.09477091188364</v>
      </c>
      <c r="K79" s="2" cm="1">
        <f t="array" aca="1" ref="K79" ca="1">thm_D($C79,qi,Di,bi,bf,telf,bterm,tterm)</f>
        <v>6.5269239460878994E-3</v>
      </c>
      <c r="L79" s="3" cm="1">
        <f t="array" aca="1" ref="L79" ca="1">thm_D_eff(C79,qi,Di,bi,bf,telf,bterm,tterm)</f>
        <v>0.58361942233434894</v>
      </c>
      <c r="M79" s="2" cm="1">
        <f t="array" aca="1" ref="M79" ca="1">thm_b(C79,qi,Di,bi,bf,telf,bterm,tterm)</f>
        <v>2</v>
      </c>
      <c r="N79" s="2" cm="1">
        <f t="array" aca="1" ref="N79" ca="1">thm_monthly_vol(C79,qi,Di,bi,bf,telf,bterm,tterm)</f>
        <v>13.673141835770094</v>
      </c>
      <c r="O79" s="2" cm="1">
        <f t="array" aca="1" ref="O79" ca="1">thm_cum($C79,qi,Di,bi,bf,telf,bterm,tterm)</f>
        <v>6.7213937890811524</v>
      </c>
      <c r="Q79" cm="1">
        <f t="array" aca="1" ref="Q79" ca="1">thm_rate(C79,$F$3,$F$4,$F$5,$F$6,$F$7,$F$8,$F$9)</f>
        <v>247.55881121463995</v>
      </c>
      <c r="R79" s="2" cm="1">
        <f t="array" aca="1" ref="R79" ca="1">thm_cum($C79,$F$3,$F$4,$F$5,$F$6,$F$7,$F$8,$F$9)*$P$3/thm_cum($P$2,$F$3,$F$4,$F$5,$F$6,$F$7,$F$8,$F$9)</f>
        <v>3.7143182877996992</v>
      </c>
      <c r="U79" s="2"/>
      <c r="V79" s="2"/>
      <c r="W79" s="2"/>
      <c r="X79" s="2"/>
      <c r="Y79" s="2"/>
      <c r="Z79" s="2"/>
      <c r="AA79" s="2"/>
    </row>
    <row r="80" spans="2:32" x14ac:dyDescent="0.25">
      <c r="B80" s="6" cm="1">
        <f t="array" ref="B80">B79+log_interval</f>
        <v>2.7631021115928571</v>
      </c>
      <c r="C80" s="8">
        <f t="shared" si="2"/>
        <v>15.848931924611172</v>
      </c>
      <c r="D80" s="6">
        <f ca="1"/>
        <v>423.65032390855771</v>
      </c>
      <c r="E80" s="7">
        <f ca="1"/>
        <v>6.4522506304194888E-3</v>
      </c>
      <c r="F80" s="7">
        <f ca="1"/>
        <v>2</v>
      </c>
      <c r="G80" s="8">
        <f ca="1"/>
        <v>7.0980722051594718</v>
      </c>
      <c r="H80" s="20">
        <f t="shared" ca="1" si="7"/>
        <v>6.2810880441744459</v>
      </c>
      <c r="I80" s="2"/>
      <c r="J80" s="2" cm="1">
        <f t="array" aca="1" ref="J80" ca="1">thm_rate($C80,qi,Di,bi,bf,telf,bterm,tterm)</f>
        <v>423.65032390855771</v>
      </c>
      <c r="K80" s="2" cm="1">
        <f t="array" aca="1" ref="K80" ca="1">thm_D($C80,qi,Di,bi,bf,telf,bterm,tterm)</f>
        <v>6.4522506304194888E-3</v>
      </c>
      <c r="L80" s="3" cm="1">
        <f t="array" aca="1" ref="L80" ca="1">thm_D_eff(C80,qi,Di,bi,bf,telf,bterm,tterm)</f>
        <v>0.58163643053007141</v>
      </c>
      <c r="M80" s="2" cm="1">
        <f t="array" aca="1" ref="M80" ca="1">thm_b(C80,qi,Di,bi,bf,telf,bterm,tterm)</f>
        <v>2</v>
      </c>
      <c r="N80" s="2" cm="1">
        <f t="array" aca="1" ref="N80" ca="1">thm_monthly_vol(C80,qi,Di,bi,bf,telf,bterm,tterm)</f>
        <v>13.631680278028693</v>
      </c>
      <c r="O80" s="2" cm="1">
        <f t="array" aca="1" ref="O80" ca="1">thm_cum($C80,qi,Di,bi,bf,telf,bterm,tterm)</f>
        <v>7.0980722051594718</v>
      </c>
      <c r="Q80" cm="1">
        <f t="array" aca="1" ref="Q80" ca="1">thm_rate(C80,$F$3,$F$4,$F$5,$F$6,$F$7,$F$8,$F$9)</f>
        <v>247.2996378709837</v>
      </c>
      <c r="R80" s="2" cm="1">
        <f t="array" aca="1" ref="R80" ca="1">thm_cum($C80,$F$3,$F$4,$F$5,$F$6,$F$7,$F$8,$F$9)*$P$3/thm_cum($P$2,$F$3,$F$4,$F$5,$F$6,$F$7,$F$8,$F$9)</f>
        <v>3.9323417971289394</v>
      </c>
      <c r="U80" s="2"/>
      <c r="V80" s="2"/>
      <c r="W80" s="2"/>
      <c r="X80" s="2"/>
      <c r="Y80" s="2"/>
      <c r="Z80" s="2"/>
      <c r="AA80" s="2"/>
    </row>
    <row r="81" spans="2:27" x14ac:dyDescent="0.25">
      <c r="B81" s="6" cm="1">
        <f t="array" ref="B81">B80+log_interval</f>
        <v>2.8206667389177085</v>
      </c>
      <c r="C81" s="8">
        <f t="shared" si="2"/>
        <v>16.788040181225647</v>
      </c>
      <c r="D81" s="6">
        <f ca="1"/>
        <v>421.10637217768027</v>
      </c>
      <c r="E81" s="7">
        <f ca="1"/>
        <v>6.3749938415818032E-3</v>
      </c>
      <c r="F81" s="7">
        <f ca="1"/>
        <v>2</v>
      </c>
      <c r="G81" s="8">
        <f ca="1"/>
        <v>7.4947276019625706</v>
      </c>
      <c r="H81" s="20">
        <f t="shared" ca="1" si="7"/>
        <v>6.6320886255303577</v>
      </c>
      <c r="I81" s="2"/>
      <c r="J81" s="2" cm="1">
        <f t="array" aca="1" ref="J81" ca="1">thm_rate($C81,qi,Di,bi,bf,telf,bterm,tterm)</f>
        <v>421.10637217768027</v>
      </c>
      <c r="K81" s="2" cm="1">
        <f t="array" aca="1" ref="K81" ca="1">thm_D($C81,qi,Di,bi,bf,telf,bterm,tterm)</f>
        <v>6.3749938415818032E-3</v>
      </c>
      <c r="L81" s="3" cm="1">
        <f t="array" aca="1" ref="L81" ca="1">thm_D_eff(C81,qi,Di,bi,bf,telf,bterm,tterm)</f>
        <v>0.57955471897323618</v>
      </c>
      <c r="M81" s="2" cm="1">
        <f t="array" aca="1" ref="M81" ca="1">thm_b(C81,qi,Di,bi,bf,telf,bterm,tterm)</f>
        <v>2</v>
      </c>
      <c r="N81" s="2" cm="1">
        <f t="array" aca="1" ref="N81" ca="1">thm_monthly_vol(C81,qi,Di,bi,bf,telf,bterm,tterm)</f>
        <v>13.588290766652269</v>
      </c>
      <c r="O81" s="2" cm="1">
        <f t="array" aca="1" ref="O81" ca="1">thm_cum($C81,qi,Di,bi,bf,telf,bterm,tterm)</f>
        <v>7.4947276019625706</v>
      </c>
      <c r="Q81" cm="1">
        <f t="array" aca="1" ref="Q81" ca="1">thm_rate(C81,$F$3,$F$4,$F$5,$F$6,$F$7,$F$8,$F$9)</f>
        <v>247.02563678162898</v>
      </c>
      <c r="R81" s="2" cm="1">
        <f t="array" aca="1" ref="R81" ca="1">thm_cum($C81,$F$3,$F$4,$F$5,$F$6,$F$7,$F$8,$F$9)*$P$3/thm_cum($P$2,$F$3,$F$4,$F$5,$F$6,$F$7,$F$8,$F$9)</f>
        <v>4.16303518337992</v>
      </c>
      <c r="U81" s="2"/>
      <c r="V81" s="2"/>
      <c r="W81" s="2"/>
      <c r="X81" s="2"/>
      <c r="Y81" s="2"/>
      <c r="Z81" s="2"/>
      <c r="AA81" s="2"/>
    </row>
    <row r="82" spans="2:27" x14ac:dyDescent="0.25">
      <c r="B82" s="6" cm="1">
        <f t="array" ref="B82">B81+log_interval</f>
        <v>2.8782313662425598</v>
      </c>
      <c r="C82" s="8">
        <f t="shared" si="2"/>
        <v>17.782794100389275</v>
      </c>
      <c r="D82" s="6">
        <f ca="1"/>
        <v>418.46104183157007</v>
      </c>
      <c r="E82" s="7">
        <f ca="1"/>
        <v>6.2951518004151852E-3</v>
      </c>
      <c r="F82" s="7">
        <f ca="1"/>
        <v>2</v>
      </c>
      <c r="G82" s="8">
        <f ca="1"/>
        <v>7.9123049440823854</v>
      </c>
      <c r="H82" s="20">
        <f t="shared" ca="1" si="7"/>
        <v>7.0016030479393621</v>
      </c>
      <c r="I82" s="2"/>
      <c r="J82" s="2" cm="1">
        <f t="array" aca="1" ref="J82" ca="1">thm_rate($C82,qi,Di,bi,bf,telf,bterm,tterm)</f>
        <v>418.46104183157007</v>
      </c>
      <c r="K82" s="2" cm="1">
        <f t="array" aca="1" ref="K82" ca="1">thm_D($C82,qi,Di,bi,bf,telf,bterm,tterm)</f>
        <v>6.2951518004151852E-3</v>
      </c>
      <c r="L82" s="3" cm="1">
        <f t="array" aca="1" ref="L82" ca="1">thm_D_eff(C82,qi,Di,bi,bf,telf,bterm,tterm)</f>
        <v>0.57737035727021313</v>
      </c>
      <c r="M82" s="2" cm="1">
        <f t="array" aca="1" ref="M82" ca="1">thm_b(C82,qi,Di,bi,bf,telf,bterm,tterm)</f>
        <v>2</v>
      </c>
      <c r="N82" s="2" cm="1">
        <f t="array" aca="1" ref="N82" ca="1">thm_monthly_vol(C82,qi,Di,bi,bf,telf,bterm,tterm)</f>
        <v>13.542910094777271</v>
      </c>
      <c r="O82" s="2" cm="1">
        <f t="array" aca="1" ref="O82" ca="1">thm_cum($C82,qi,Di,bi,bf,telf,bterm,tterm)</f>
        <v>7.9123049440823854</v>
      </c>
      <c r="Q82" cm="1">
        <f t="array" aca="1" ref="Q82" ca="1">thm_rate(C82,$F$3,$F$4,$F$5,$F$6,$F$7,$F$8,$F$9)</f>
        <v>246.73599222673525</v>
      </c>
      <c r="R82" s="2" cm="1">
        <f t="array" aca="1" ref="R82" ca="1">thm_cum($C82,$F$3,$F$4,$F$5,$F$6,$F$7,$F$8,$F$9)*$P$3/thm_cum($P$2,$F$3,$F$4,$F$5,$F$6,$F$7,$F$8,$F$9)</f>
        <v>4.4071193763806207</v>
      </c>
      <c r="U82" s="2"/>
      <c r="V82" s="2"/>
      <c r="W82" s="2"/>
      <c r="X82" s="2"/>
      <c r="Y82" s="2"/>
      <c r="Z82" s="2"/>
      <c r="AA82" s="2"/>
    </row>
    <row r="83" spans="2:27" x14ac:dyDescent="0.25">
      <c r="B83" s="6" cm="1">
        <f t="array" ref="B83">B82+log_interval</f>
        <v>2.9357959935674112</v>
      </c>
      <c r="C83" s="8">
        <f t="shared" si="2"/>
        <v>18.836490894898059</v>
      </c>
      <c r="D83" s="6">
        <f ca="1"/>
        <v>415.71262992396669</v>
      </c>
      <c r="E83" s="7">
        <f ca="1"/>
        <v>6.2127314525639915E-3</v>
      </c>
      <c r="F83" s="7">
        <f ca="1"/>
        <v>2</v>
      </c>
      <c r="G83" s="8">
        <f ca="1"/>
        <v>8.3517832352608359</v>
      </c>
      <c r="H83" s="20">
        <f t="shared" ca="1" si="7"/>
        <v>7.3904976323574649</v>
      </c>
      <c r="I83" s="2"/>
      <c r="J83" s="2" cm="1">
        <f t="array" aca="1" ref="J83" ca="1">thm_rate($C83,qi,Di,bi,bf,telf,bterm,tterm)</f>
        <v>415.71262992396669</v>
      </c>
      <c r="K83" s="2" cm="1">
        <f t="array" aca="1" ref="K83" ca="1">thm_D($C83,qi,Di,bi,bf,telf,bterm,tterm)</f>
        <v>6.2127314525639915E-3</v>
      </c>
      <c r="L83" s="3" cm="1">
        <f t="array" aca="1" ref="L83" ca="1">thm_D_eff(C83,qi,Di,bi,bf,telf,bterm,tterm)</f>
        <v>0.57507935903329521</v>
      </c>
      <c r="M83" s="2" cm="1">
        <f t="array" aca="1" ref="M83" ca="1">thm_b(C83,qi,Di,bi,bf,telf,bterm,tterm)</f>
        <v>2</v>
      </c>
      <c r="N83" s="2" cm="1">
        <f t="array" aca="1" ref="N83" ca="1">thm_monthly_vol(C83,qi,Di,bi,bf,telf,bterm,tterm)</f>
        <v>13.495475544869389</v>
      </c>
      <c r="O83" s="2" cm="1">
        <f t="array" aca="1" ref="O83" ca="1">thm_cum($C83,qi,Di,bi,bf,telf,bterm,tterm)</f>
        <v>8.3517832352608359</v>
      </c>
      <c r="Q83" cm="1">
        <f t="array" aca="1" ref="Q83" ca="1">thm_rate(C83,$F$3,$F$4,$F$5,$F$6,$F$7,$F$8,$F$9)</f>
        <v>246.42984751218435</v>
      </c>
      <c r="R83" s="2" cm="1">
        <f t="array" aca="1" ref="R83" ca="1">thm_cum($C83,$F$3,$F$4,$F$5,$F$6,$F$7,$F$8,$F$9)*$P$3/thm_cum($P$2,$F$3,$F$4,$F$5,$F$6,$F$7,$F$8,$F$9)</f>
        <v>4.6653544891643888</v>
      </c>
      <c r="U83" s="2"/>
      <c r="V83" s="2"/>
      <c r="W83" s="2"/>
      <c r="X83" s="2"/>
      <c r="Y83" s="2"/>
      <c r="Z83" s="2"/>
      <c r="AA83" s="2"/>
    </row>
    <row r="84" spans="2:27" x14ac:dyDescent="0.25">
      <c r="B84" s="6" cm="1">
        <f t="array" ref="B84">B83+log_interval</f>
        <v>2.9933606208922625</v>
      </c>
      <c r="C84" s="8">
        <f t="shared" si="2"/>
        <v>19.952623149688858</v>
      </c>
      <c r="D84" s="6">
        <f ca="1"/>
        <v>412.85962398789093</v>
      </c>
      <c r="E84" s="7">
        <f ca="1"/>
        <v>6.1277490109499285E-3</v>
      </c>
      <c r="F84" s="7">
        <f ca="1"/>
        <v>2</v>
      </c>
      <c r="G84" s="8">
        <f ca="1"/>
        <v>8.8141758619960893</v>
      </c>
      <c r="H84" s="20">
        <f t="shared" ca="1" si="7"/>
        <v>7.7996691250608094</v>
      </c>
      <c r="I84" s="2"/>
      <c r="J84" s="2" cm="1">
        <f t="array" aca="1" ref="J84" ca="1">thm_rate($C84,qi,Di,bi,bf,telf,bterm,tterm)</f>
        <v>412.85962398789093</v>
      </c>
      <c r="K84" s="2" cm="1">
        <f t="array" aca="1" ref="K84" ca="1">thm_D($C84,qi,Di,bi,bf,telf,bterm,tterm)</f>
        <v>6.1277490109499285E-3</v>
      </c>
      <c r="L84" s="3" cm="1">
        <f t="array" aca="1" ref="L84" ca="1">thm_D_eff(C84,qi,Di,bi,bf,telf,bterm,tterm)</f>
        <v>0.57267769201158658</v>
      </c>
      <c r="M84" s="2" cm="1">
        <f t="array" aca="1" ref="M84" ca="1">thm_b(C84,qi,Di,bi,bf,telf,bterm,tterm)</f>
        <v>2</v>
      </c>
      <c r="N84" s="2" cm="1">
        <f t="array" aca="1" ref="N84" ca="1">thm_monthly_vol(C84,qi,Di,bi,bf,telf,bterm,tterm)</f>
        <v>13.445925169177045</v>
      </c>
      <c r="O84" s="2" cm="1">
        <f t="array" aca="1" ref="O84" ca="1">thm_cum($C84,qi,Di,bi,bf,telf,bterm,tterm)</f>
        <v>8.8141758619960893</v>
      </c>
      <c r="Q84" cm="1">
        <f t="array" aca="1" ref="Q84" ca="1">thm_rate(C84,$F$3,$F$4,$F$5,$F$6,$F$7,$F$8,$F$9)</f>
        <v>246.10630338287237</v>
      </c>
      <c r="R84" s="2" cm="1">
        <f t="array" aca="1" ref="R84" ca="1">thm_cum($C84,$F$3,$F$4,$F$5,$F$6,$F$7,$F$8,$F$9)*$P$3/thm_cum($P$2,$F$3,$F$4,$F$5,$F$6,$F$7,$F$8,$F$9)</f>
        <v>4.9385417272667178</v>
      </c>
      <c r="U84" s="2"/>
      <c r="V84" s="2"/>
      <c r="W84" s="2"/>
      <c r="X84" s="2"/>
      <c r="Y84" s="2"/>
      <c r="Z84" s="2"/>
      <c r="AA84" s="2"/>
    </row>
    <row r="85" spans="2:27" x14ac:dyDescent="0.25">
      <c r="B85" s="6" cm="1">
        <f t="array" ref="B85">B84+log_interval</f>
        <v>3.0509252482171139</v>
      </c>
      <c r="C85" s="8">
        <f t="shared" si="2"/>
        <v>21.134890398366537</v>
      </c>
      <c r="D85" s="6">
        <f ca="1"/>
        <v>409.90072160983601</v>
      </c>
      <c r="E85" s="7">
        <f ca="1"/>
        <v>6.0402304572691684E-3</v>
      </c>
      <c r="F85" s="7">
        <f ca="1"/>
        <v>2</v>
      </c>
      <c r="G85" s="8">
        <f ca="1"/>
        <v>9.3005308767193071</v>
      </c>
      <c r="H85" s="20">
        <f t="shared" ca="1" si="7"/>
        <v>8.2300449482289331</v>
      </c>
      <c r="I85" s="2"/>
      <c r="J85" s="2" cm="1">
        <f t="array" aca="1" ref="J85" ca="1">thm_rate($C85,qi,Di,bi,bf,telf,bterm,tterm)</f>
        <v>409.90072160983601</v>
      </c>
      <c r="K85" s="2" cm="1">
        <f t="array" aca="1" ref="K85" ca="1">thm_D($C85,qi,Di,bi,bf,telf,bterm,tterm)</f>
        <v>6.0402304572691684E-3</v>
      </c>
      <c r="L85" s="3" cm="1">
        <f t="array" aca="1" ref="L85" ca="1">thm_D_eff(C85,qi,Di,bi,bf,telf,bterm,tterm)</f>
        <v>0.57016128944046085</v>
      </c>
      <c r="M85" s="2" cm="1">
        <f t="array" aca="1" ref="M85" ca="1">thm_b(C85,qi,Di,bi,bf,telf,bterm,tterm)</f>
        <v>2</v>
      </c>
      <c r="N85" s="2" cm="1">
        <f t="array" aca="1" ref="N85" ca="1">thm_monthly_vol(C85,qi,Di,bi,bf,telf,bterm,tterm)</f>
        <v>13.394198087822724</v>
      </c>
      <c r="O85" s="2" cm="1">
        <f t="array" aca="1" ref="O85" ca="1">thm_cum($C85,qi,Di,bi,bf,telf,bterm,tterm)</f>
        <v>9.3005308767193071</v>
      </c>
      <c r="Q85" cm="1">
        <f t="array" aca="1" ref="Q85" ca="1">thm_rate(C85,$F$3,$F$4,$F$5,$F$6,$F$7,$F$8,$F$9)</f>
        <v>245.76441643438801</v>
      </c>
      <c r="R85" s="2" cm="1">
        <f t="array" aca="1" ref="R85" ca="1">thm_cum($C85,$F$3,$F$4,$F$5,$F$6,$F$7,$F$8,$F$9)*$P$3/thm_cum($P$2,$F$3,$F$4,$F$5,$F$6,$F$7,$F$8,$F$9)</f>
        <v>5.2275253642540109</v>
      </c>
      <c r="U85" s="2"/>
      <c r="V85" s="2"/>
      <c r="W85" s="2"/>
      <c r="X85" s="2"/>
      <c r="Y85" s="2"/>
      <c r="Z85" s="2"/>
      <c r="AA85" s="2"/>
    </row>
    <row r="86" spans="2:27" x14ac:dyDescent="0.25">
      <c r="B86" s="6" cm="1">
        <f t="array" ref="B86">B85+log_interval</f>
        <v>3.1084898755419652</v>
      </c>
      <c r="C86" s="8">
        <f t="shared" si="2"/>
        <v>22.387211385683475</v>
      </c>
      <c r="D86" s="6">
        <f ca="1"/>
        <v>406.83484982752918</v>
      </c>
      <c r="E86" s="7">
        <f ca="1"/>
        <v>5.9502119924161332E-3</v>
      </c>
      <c r="F86" s="7">
        <f ca="1"/>
        <v>2</v>
      </c>
      <c r="G86" s="8">
        <f ca="1"/>
        <v>9.8119312190217673</v>
      </c>
      <c r="H86" s="20">
        <f t="shared" ca="1" si="7"/>
        <v>8.682583395708777</v>
      </c>
      <c r="I86" s="2"/>
      <c r="J86" s="2" cm="1">
        <f t="array" aca="1" ref="J86" ca="1">thm_rate($C86,qi,Di,bi,bf,telf,bterm,tterm)</f>
        <v>406.83484982752918</v>
      </c>
      <c r="K86" s="2" cm="1">
        <f t="array" aca="1" ref="K86" ca="1">thm_D($C86,qi,Di,bi,bf,telf,bterm,tterm)</f>
        <v>5.9502119924161332E-3</v>
      </c>
      <c r="L86" s="3" cm="1">
        <f t="array" aca="1" ref="L86" ca="1">thm_D_eff(C86,qi,Di,bi,bf,telf,bterm,tterm)</f>
        <v>0.56752606265345229</v>
      </c>
      <c r="M86" s="2" cm="1">
        <f t="array" aca="1" ref="M86" ca="1">thm_b(C86,qi,Di,bi,bf,telf,bterm,tterm)</f>
        <v>2</v>
      </c>
      <c r="N86" s="2" cm="1">
        <f t="array" aca="1" ref="N86" ca="1">thm_monthly_vol(C86,qi,Di,bi,bf,telf,bterm,tterm)</f>
        <v>13.340234803427142</v>
      </c>
      <c r="O86" s="2" cm="1">
        <f t="array" aca="1" ref="O86" ca="1">thm_cum($C86,qi,Di,bi,bf,telf,bterm,tterm)</f>
        <v>9.8119312190217673</v>
      </c>
      <c r="Q86" cm="1">
        <f t="array" aca="1" ref="Q86" ca="1">thm_rate(C86,$F$3,$F$4,$F$5,$F$6,$F$7,$F$8,$F$9)</f>
        <v>245.40319753244782</v>
      </c>
      <c r="R86" s="2" cm="1">
        <f t="array" aca="1" ref="R86" ca="1">thm_cum($C86,$F$3,$F$4,$F$5,$F$6,$F$7,$F$8,$F$9)*$P$3/thm_cum($P$2,$F$3,$F$4,$F$5,$F$6,$F$7,$F$8,$F$9)</f>
        <v>5.5331947822993115</v>
      </c>
      <c r="U86" s="2"/>
      <c r="V86" s="2"/>
      <c r="W86" s="2"/>
      <c r="X86" s="2"/>
      <c r="Y86" s="2"/>
      <c r="Z86" s="2"/>
      <c r="AA86" s="2"/>
    </row>
    <row r="87" spans="2:27" x14ac:dyDescent="0.25">
      <c r="B87" s="6" cm="1">
        <f t="array" ref="B87">B86+log_interval</f>
        <v>3.1660545028668166</v>
      </c>
      <c r="C87" s="8">
        <f t="shared" si="2"/>
        <v>23.71373705661664</v>
      </c>
      <c r="D87" s="6">
        <f ca="1"/>
        <v>403.66118412037883</v>
      </c>
      <c r="E87" s="7">
        <f ca="1"/>
        <v>5.8577404255924261E-3</v>
      </c>
      <c r="F87" s="7">
        <f ca="1"/>
        <v>2</v>
      </c>
      <c r="G87" s="8">
        <f ca="1"/>
        <v>10.349494874167172</v>
      </c>
      <c r="H87" s="20">
        <f t="shared" ca="1" si="7"/>
        <v>9.1582737732823123</v>
      </c>
      <c r="I87" s="2"/>
      <c r="J87" s="2" cm="1">
        <f t="array" aca="1" ref="J87" ca="1">thm_rate($C87,qi,Di,bi,bf,telf,bterm,tterm)</f>
        <v>403.66118412037883</v>
      </c>
      <c r="K87" s="2" cm="1">
        <f t="array" aca="1" ref="K87" ca="1">thm_D($C87,qi,Di,bi,bf,telf,bterm,tterm)</f>
        <v>5.8577404255924261E-3</v>
      </c>
      <c r="L87" s="3" cm="1">
        <f t="array" aca="1" ref="L87" ca="1">thm_D_eff(C87,qi,Di,bi,bf,telf,bterm,tterm)</f>
        <v>0.56476791499335854</v>
      </c>
      <c r="M87" s="2" cm="1">
        <f t="array" aca="1" ref="M87" ca="1">thm_b(C87,qi,Di,bi,bf,telf,bterm,tterm)</f>
        <v>2</v>
      </c>
      <c r="N87" s="2" cm="1">
        <f t="array" aca="1" ref="N87" ca="1">thm_monthly_vol(C87,qi,Di,bi,bf,telf,bterm,tterm)</f>
        <v>13.283977530845059</v>
      </c>
      <c r="O87" s="2" cm="1">
        <f t="array" aca="1" ref="O87" ca="1">thm_cum($C87,qi,Di,bi,bf,telf,bterm,tterm)</f>
        <v>10.349494874167172</v>
      </c>
      <c r="Q87" cm="1">
        <f t="array" aca="1" ref="Q87" ca="1">thm_rate(C87,$F$3,$F$4,$F$5,$F$6,$F$7,$F$8,$F$9)</f>
        <v>245.02161025086309</v>
      </c>
      <c r="R87" s="2" cm="1">
        <f t="array" aca="1" ref="R87" ca="1">thm_cum($C87,$F$3,$F$4,$F$5,$F$6,$F$7,$F$8,$F$9)*$P$3/thm_cum($P$2,$F$3,$F$4,$F$5,$F$6,$F$7,$F$8,$F$9)</f>
        <v>5.8564865760351745</v>
      </c>
      <c r="U87" s="2"/>
      <c r="V87" s="2"/>
      <c r="W87" s="2"/>
      <c r="X87" s="2"/>
      <c r="Y87" s="2"/>
      <c r="Z87" s="2"/>
      <c r="AA87" s="2"/>
    </row>
    <row r="88" spans="2:27" x14ac:dyDescent="0.25">
      <c r="B88" s="6" cm="1">
        <f t="array" ref="B88">B87+log_interval</f>
        <v>3.2236191301916679</v>
      </c>
      <c r="C88" s="8">
        <f t="shared" si="2"/>
        <v>25.118864315095902</v>
      </c>
      <c r="D88" s="6">
        <f ca="1"/>
        <v>400.37916674623199</v>
      </c>
      <c r="E88" s="7">
        <f ca="1"/>
        <v>5.7628734919276357E-3</v>
      </c>
      <c r="F88" s="7">
        <f ca="1"/>
        <v>2</v>
      </c>
      <c r="G88" s="8">
        <f ca="1"/>
        <v>10.914374968961303</v>
      </c>
      <c r="H88" s="20">
        <f t="shared" ca="1" si="7"/>
        <v>9.6581364835016466</v>
      </c>
      <c r="I88" s="2"/>
      <c r="J88" s="2" cm="1">
        <f t="array" aca="1" ref="J88" ca="1">thm_rate($C88,qi,Di,bi,bf,telf,bterm,tterm)</f>
        <v>400.37916674623199</v>
      </c>
      <c r="K88" s="2" cm="1">
        <f t="array" aca="1" ref="K88" ca="1">thm_D($C88,qi,Di,bi,bf,telf,bterm,tterm)</f>
        <v>5.7628734919276357E-3</v>
      </c>
      <c r="L88" s="3" cm="1">
        <f t="array" aca="1" ref="L88" ca="1">thm_D_eff(C88,qi,Di,bi,bf,telf,bterm,tterm)</f>
        <v>0.56188275705102819</v>
      </c>
      <c r="M88" s="2" cm="1">
        <f t="array" aca="1" ref="M88" ca="1">thm_b(C88,qi,Di,bi,bf,telf,bterm,tterm)</f>
        <v>2</v>
      </c>
      <c r="N88" s="2" cm="1">
        <f t="array" aca="1" ref="N88" ca="1">thm_monthly_vol(C88,qi,Di,bi,bf,telf,bterm,tterm)</f>
        <v>13.225370540264066</v>
      </c>
      <c r="O88" s="2" cm="1">
        <f t="array" aca="1" ref="O88" ca="1">thm_cum($C88,qi,Di,bi,bf,telf,bterm,tterm)</f>
        <v>10.914374968961303</v>
      </c>
      <c r="Q88" cm="1">
        <f t="array" aca="1" ref="Q88" ca="1">thm_rate(C88,$F$3,$F$4,$F$5,$F$6,$F$7,$F$8,$F$9)</f>
        <v>244.61856934034347</v>
      </c>
      <c r="R88" s="2" cm="1">
        <f t="array" aca="1" ref="R88" ca="1">thm_cum($C88,$F$3,$F$4,$F$5,$F$6,$F$7,$F$8,$F$9)*$P$3/thm_cum($P$2,$F$3,$F$4,$F$5,$F$6,$F$7,$F$8,$F$9)</f>
        <v>6.1983867172520908</v>
      </c>
      <c r="U88" s="2"/>
      <c r="V88" s="2"/>
      <c r="W88" s="2"/>
      <c r="X88" s="2"/>
      <c r="Y88" s="2"/>
      <c r="Z88" s="2"/>
      <c r="AA88" s="2"/>
    </row>
    <row r="89" spans="2:27" x14ac:dyDescent="0.25">
      <c r="B89" s="6" cm="1">
        <f t="array" ref="B89">B88+log_interval</f>
        <v>3.2811837575165193</v>
      </c>
      <c r="C89" s="8">
        <f t="shared" si="2"/>
        <v>26.607250597988205</v>
      </c>
      <c r="D89" s="6">
        <f ca="1"/>
        <v>396.98852416591302</v>
      </c>
      <c r="E89" s="7">
        <f ca="1"/>
        <v>5.665680088743923E-3</v>
      </c>
      <c r="F89" s="7">
        <f ca="1"/>
        <v>2</v>
      </c>
      <c r="G89" s="8">
        <f ca="1"/>
        <v>11.507759805963071</v>
      </c>
      <c r="H89" s="20">
        <f t="shared" ca="1" si="7"/>
        <v>10.18322305596241</v>
      </c>
      <c r="I89" s="2"/>
      <c r="J89" s="2" cm="1">
        <f t="array" aca="1" ref="J89" ca="1">thm_rate($C89,qi,Di,bi,bf,telf,bterm,tterm)</f>
        <v>396.98852416591302</v>
      </c>
      <c r="K89" s="2" cm="1">
        <f t="array" aca="1" ref="K89" ca="1">thm_D($C89,qi,Di,bi,bf,telf,bterm,tterm)</f>
        <v>5.665680088743923E-3</v>
      </c>
      <c r="L89" s="3" cm="1">
        <f t="array" aca="1" ref="L89" ca="1">thm_D_eff(C89,qi,Di,bi,bf,telf,bterm,tterm)</f>
        <v>0.55886652325072439</v>
      </c>
      <c r="M89" s="2" cm="1">
        <f t="array" aca="1" ref="M89" ca="1">thm_b(C89,qi,Di,bi,bf,telf,bterm,tterm)</f>
        <v>2</v>
      </c>
      <c r="N89" s="2" cm="1">
        <f t="array" aca="1" ref="N89" ca="1">thm_monthly_vol(C89,qi,Di,bi,bf,telf,bterm,tterm)</f>
        <v>13.164360511584949</v>
      </c>
      <c r="O89" s="2" cm="1">
        <f t="array" aca="1" ref="O89" ca="1">thm_cum($C89,qi,Di,bi,bf,telf,bterm,tterm)</f>
        <v>11.507759805963071</v>
      </c>
      <c r="Q89" cm="1">
        <f t="array" aca="1" ref="Q89" ca="1">thm_rate(C89,$F$3,$F$4,$F$5,$F$6,$F$7,$F$8,$F$9)</f>
        <v>244.19293924212334</v>
      </c>
      <c r="R89" s="2" cm="1">
        <f t="array" aca="1" ref="R89" ca="1">thm_cum($C89,$F$3,$F$4,$F$5,$F$6,$F$7,$F$8,$F$9)*$P$3/thm_cum($P$2,$F$3,$F$4,$F$5,$F$6,$F$7,$F$8,$F$9)</f>
        <v>6.5599327772541027</v>
      </c>
      <c r="U89" s="2"/>
      <c r="V89" s="2"/>
      <c r="W89" s="2"/>
      <c r="X89" s="2"/>
      <c r="Y89" s="2"/>
      <c r="Z89" s="2"/>
      <c r="AA89" s="2"/>
    </row>
    <row r="90" spans="2:27" x14ac:dyDescent="0.25">
      <c r="B90" s="6" cm="1">
        <f t="array" ref="B90">B89+log_interval</f>
        <v>3.3387483848413706</v>
      </c>
      <c r="C90" s="8">
        <f t="shared" si="2"/>
        <v>28.183829312644662</v>
      </c>
      <c r="D90" s="6">
        <f ca="1"/>
        <v>393.48928328888519</v>
      </c>
      <c r="E90" s="7">
        <f ca="1"/>
        <v>5.5662404211574822E-3</v>
      </c>
      <c r="F90" s="7">
        <f ca="1"/>
        <v>2</v>
      </c>
      <c r="G90" s="8">
        <f ca="1"/>
        <v>12.130872837996732</v>
      </c>
      <c r="H90" s="20">
        <f t="shared" ca="1" si="7"/>
        <v>10.734616124749598</v>
      </c>
      <c r="I90" s="2"/>
      <c r="J90" s="2" cm="1">
        <f t="array" aca="1" ref="J90" ca="1">thm_rate($C90,qi,Di,bi,bf,telf,bterm,tterm)</f>
        <v>393.48928328888519</v>
      </c>
      <c r="K90" s="2" cm="1">
        <f t="array" aca="1" ref="K90" ca="1">thm_D($C90,qi,Di,bi,bf,telf,bterm,tterm)</f>
        <v>5.5662404211574822E-3</v>
      </c>
      <c r="L90" s="3" cm="1">
        <f t="array" aca="1" ref="L90" ca="1">thm_D_eff(C90,qi,Di,bi,bf,telf,bterm,tterm)</f>
        <v>0.55571518979010004</v>
      </c>
      <c r="M90" s="2" cm="1">
        <f t="array" aca="1" ref="M90" ca="1">thm_b(C90,qi,Di,bi,bf,telf,bterm,tterm)</f>
        <v>2</v>
      </c>
      <c r="N90" s="2" cm="1">
        <f t="array" aca="1" ref="N90" ca="1">thm_monthly_vol(C90,qi,Di,bi,bf,telf,bterm,tterm)</f>
        <v>13.100896897671358</v>
      </c>
      <c r="O90" s="2" cm="1">
        <f t="array" aca="1" ref="O90" ca="1">thm_cum($C90,qi,Di,bi,bf,telf,bterm,tterm)</f>
        <v>12.130872837996732</v>
      </c>
      <c r="Q90" cm="1">
        <f t="array" aca="1" ref="Q90" ca="1">thm_rate(C90,$F$3,$F$4,$F$5,$F$6,$F$7,$F$8,$F$9)</f>
        <v>243.74353266221448</v>
      </c>
      <c r="R90" s="2" cm="1">
        <f t="array" aca="1" ref="R90" ca="1">thm_cum($C90,$F$3,$F$4,$F$5,$F$6,$F$7,$F$8,$F$9)*$P$3/thm_cum($P$2,$F$3,$F$4,$F$5,$F$6,$F$7,$F$8,$F$9)</f>
        <v>6.9422162028485541</v>
      </c>
      <c r="U90" s="2"/>
      <c r="V90" s="2"/>
      <c r="W90" s="2"/>
      <c r="X90" s="2"/>
      <c r="Y90" s="2"/>
      <c r="Z90" s="2"/>
      <c r="AA90" s="2"/>
    </row>
    <row r="91" spans="2:27" x14ac:dyDescent="0.25">
      <c r="B91" s="6" cm="1">
        <f t="array" ref="B91">B90+log_interval</f>
        <v>3.3963130121662219</v>
      </c>
      <c r="C91" s="8">
        <f t="shared" si="2"/>
        <v>29.853826189179731</v>
      </c>
      <c r="D91" s="6">
        <f ca="1"/>
        <v>389.88178626992607</v>
      </c>
      <c r="E91" s="7">
        <f ca="1"/>
        <v>5.4646460485398597E-3</v>
      </c>
      <c r="F91" s="7">
        <f ca="1"/>
        <v>2</v>
      </c>
      <c r="G91" s="8">
        <f ca="1"/>
        <v>12.784972585949253</v>
      </c>
      <c r="H91" s="20">
        <f t="shared" ca="1" si="7"/>
        <v>11.313429355696407</v>
      </c>
      <c r="I91" s="2"/>
      <c r="J91" s="2" cm="1">
        <f t="array" aca="1" ref="J91" ca="1">thm_rate($C91,qi,Di,bi,bf,telf,bterm,tterm)</f>
        <v>389.88178626992607</v>
      </c>
      <c r="K91" s="2" cm="1">
        <f t="array" aca="1" ref="K91" ca="1">thm_D($C91,qi,Di,bi,bf,telf,bterm,tterm)</f>
        <v>5.4646460485398597E-3</v>
      </c>
      <c r="L91" s="3" cm="1">
        <f t="array" aca="1" ref="L91" ca="1">thm_D_eff(C91,qi,Di,bi,bf,telf,bterm,tterm)</f>
        <v>0.55242479393069832</v>
      </c>
      <c r="M91" s="2" cm="1">
        <f t="array" aca="1" ref="M91" ca="1">thm_b(C91,qi,Di,bi,bf,telf,bterm,tterm)</f>
        <v>2</v>
      </c>
      <c r="N91" s="2" cm="1">
        <f t="array" aca="1" ref="N91" ca="1">thm_monthly_vol(C91,qi,Di,bi,bf,telf,bterm,tterm)</f>
        <v>13.034932293732986</v>
      </c>
      <c r="O91" s="2" cm="1">
        <f t="array" aca="1" ref="O91" ca="1">thm_cum($C91,qi,Di,bi,bf,telf,bterm,tterm)</f>
        <v>12.784972585949253</v>
      </c>
      <c r="Q91" cm="1">
        <f t="array" aca="1" ref="Q91" ca="1">thm_rate(C91,$F$3,$F$4,$F$5,$F$6,$F$7,$F$8,$F$9)</f>
        <v>243.26910922406711</v>
      </c>
      <c r="R91" s="2" cm="1">
        <f t="array" aca="1" ref="R91" ca="1">thm_cum($C91,$F$3,$F$4,$F$5,$F$6,$F$7,$F$8,$F$9)*$P$3/thm_cum($P$2,$F$3,$F$4,$F$5,$F$6,$F$7,$F$8,$F$9)</f>
        <v>7.3463846409908609</v>
      </c>
      <c r="U91" s="2"/>
      <c r="V91" s="2"/>
      <c r="W91" s="2"/>
      <c r="X91" s="2"/>
      <c r="Y91" s="2"/>
      <c r="Z91" s="2"/>
      <c r="AA91" s="2"/>
    </row>
    <row r="92" spans="2:27" x14ac:dyDescent="0.25">
      <c r="B92" s="6" cm="1">
        <f t="array" ref="B92">B91+log_interval</f>
        <v>3.4538776394910733</v>
      </c>
      <c r="C92" s="8">
        <f t="shared" si="2"/>
        <v>31.622776601683945</v>
      </c>
      <c r="D92" s="6">
        <f ca="1"/>
        <v>386.16670358849649</v>
      </c>
      <c r="E92" s="7">
        <f ca="1"/>
        <v>5.3609998244653692E-3</v>
      </c>
      <c r="F92" s="7">
        <f ca="1"/>
        <v>2</v>
      </c>
      <c r="G92" s="8">
        <f ca="1"/>
        <v>13.471352503895522</v>
      </c>
      <c r="H92" s="20">
        <f t="shared" ca="1" si="7"/>
        <v>11.920807327033469</v>
      </c>
      <c r="I92" s="2"/>
      <c r="J92" s="2" cm="1">
        <f t="array" aca="1" ref="J92" ca="1">thm_rate($C92,qi,Di,bi,bf,telf,bterm,tterm)</f>
        <v>386.16670358849649</v>
      </c>
      <c r="K92" s="2" cm="1">
        <f t="array" aca="1" ref="K92" ca="1">thm_D($C92,qi,Di,bi,bf,telf,bterm,tterm)</f>
        <v>5.3609998244653692E-3</v>
      </c>
      <c r="L92" s="3" cm="1">
        <f t="array" aca="1" ref="L92" ca="1">thm_D_eff(C92,qi,Di,bi,bf,telf,bterm,tterm)</f>
        <v>0.54899145462152565</v>
      </c>
      <c r="M92" s="2" cm="1">
        <f t="array" aca="1" ref="M92" ca="1">thm_b(C92,qi,Di,bi,bf,telf,bterm,tterm)</f>
        <v>2</v>
      </c>
      <c r="N92" s="2" cm="1">
        <f t="array" aca="1" ref="N92" ca="1">thm_monthly_vol(C92,qi,Di,bi,bf,telf,bterm,tterm)</f>
        <v>12.911026772885515</v>
      </c>
      <c r="O92" s="2" cm="1">
        <f t="array" aca="1" ref="O92" ca="1">thm_cum($C92,qi,Di,bi,bf,telf,bterm,tterm)</f>
        <v>13.471352503895522</v>
      </c>
      <c r="Q92" cm="1">
        <f t="array" aca="1" ref="Q92" ca="1">thm_rate(C92,$F$3,$F$4,$F$5,$F$6,$F$7,$F$8,$F$9)</f>
        <v>242.76837421954343</v>
      </c>
      <c r="R92" s="2" cm="1">
        <f t="array" aca="1" ref="R92" ca="1">thm_cum($C92,$F$3,$F$4,$F$5,$F$6,$F$7,$F$8,$F$9)*$P$3/thm_cum($P$2,$F$3,$F$4,$F$5,$F$6,$F$7,$F$8,$F$9)</f>
        <v>7.7736443060609641</v>
      </c>
      <c r="U92" s="2"/>
      <c r="V92" s="2"/>
      <c r="W92" s="2"/>
      <c r="X92" s="2"/>
      <c r="Y92" s="2"/>
      <c r="Z92" s="2"/>
      <c r="AA92" s="2"/>
    </row>
    <row r="93" spans="2:27" x14ac:dyDescent="0.25">
      <c r="B93" s="6" cm="1">
        <f t="array" ref="B93">B92+log_interval</f>
        <v>3.5114422668159246</v>
      </c>
      <c r="C93" s="8">
        <f t="shared" si="2"/>
        <v>33.496543915782929</v>
      </c>
      <c r="D93" s="6">
        <f ca="1"/>
        <v>382.34504514999242</v>
      </c>
      <c r="E93" s="7">
        <f ca="1"/>
        <v>5.255415724142831E-3</v>
      </c>
      <c r="F93" s="7">
        <f ca="1"/>
        <v>2</v>
      </c>
      <c r="G93" s="8">
        <f ca="1"/>
        <v>14.191340796665717</v>
      </c>
      <c r="H93" s="20">
        <f t="shared" ca="1" si="7"/>
        <v>12.557925367954109</v>
      </c>
      <c r="I93" s="2"/>
      <c r="J93" s="2" cm="1">
        <f t="array" aca="1" ref="J93" ca="1">thm_rate($C93,qi,Di,bi,bf,telf,bterm,tterm)</f>
        <v>382.34504514999242</v>
      </c>
      <c r="K93" s="2" cm="1">
        <f t="array" aca="1" ref="K93" ca="1">thm_D($C93,qi,Di,bi,bf,telf,bterm,tterm)</f>
        <v>5.255415724142831E-3</v>
      </c>
      <c r="L93" s="3" cm="1">
        <f t="array" aca="1" ref="L93" ca="1">thm_D_eff(C93,qi,Di,bi,bf,telf,bterm,tterm)</f>
        <v>0.54541139442368014</v>
      </c>
      <c r="M93" s="2" cm="1">
        <f t="array" aca="1" ref="M93" ca="1">thm_b(C93,qi,Di,bi,bf,telf,bterm,tterm)</f>
        <v>2</v>
      </c>
      <c r="N93" s="2" cm="1">
        <f t="array" aca="1" ref="N93" ca="1">thm_monthly_vol(C93,qi,Di,bi,bf,telf,bterm,tterm)</f>
        <v>12.755887846685361</v>
      </c>
      <c r="O93" s="2" cm="1">
        <f t="array" aca="1" ref="O93" ca="1">thm_cum($C93,qi,Di,bi,bf,telf,bterm,tterm)</f>
        <v>14.191340796665717</v>
      </c>
      <c r="Q93" cm="1">
        <f t="array" aca="1" ref="Q93" ca="1">thm_rate(C93,$F$3,$F$4,$F$5,$F$6,$F$7,$F$8,$F$9)</f>
        <v>242.23997748039167</v>
      </c>
      <c r="R93" s="2" cm="1">
        <f t="array" aca="1" ref="R93" ca="1">thm_cum($C93,$F$3,$F$4,$F$5,$F$6,$F$7,$F$8,$F$9)*$P$3/thm_cum($P$2,$F$3,$F$4,$F$5,$F$6,$F$7,$F$8,$F$9)</f>
        <v>8.2252623825737263</v>
      </c>
      <c r="U93" s="2"/>
      <c r="V93" s="2"/>
      <c r="W93" s="2"/>
      <c r="X93" s="2"/>
      <c r="Y93" s="2"/>
      <c r="Z93" s="2"/>
      <c r="AA93" s="2"/>
    </row>
    <row r="94" spans="2:27" x14ac:dyDescent="0.25">
      <c r="B94" s="6" cm="1">
        <f t="array" ref="B94">B93+log_interval</f>
        <v>3.569006894140776</v>
      </c>
      <c r="C94" s="8">
        <f t="shared" si="2"/>
        <v>35.481338923357733</v>
      </c>
      <c r="D94" s="6">
        <f ca="1"/>
        <v>378.41816916161144</v>
      </c>
      <c r="E94" s="7">
        <f ca="1"/>
        <v>5.1480185549560757E-3</v>
      </c>
      <c r="F94" s="7">
        <f ca="1"/>
        <v>2</v>
      </c>
      <c r="G94" s="8">
        <f ca="1"/>
        <v>14.946300196035759</v>
      </c>
      <c r="H94" s="20">
        <f t="shared" ca="1" si="7"/>
        <v>13.22598936056515</v>
      </c>
      <c r="I94" s="2"/>
      <c r="J94" s="2" cm="1">
        <f t="array" aca="1" ref="J94" ca="1">thm_rate($C94,qi,Di,bi,bf,telf,bterm,tterm)</f>
        <v>378.41816916161144</v>
      </c>
      <c r="K94" s="2" cm="1">
        <f t="array" aca="1" ref="K94" ca="1">thm_D($C94,qi,Di,bi,bf,telf,bterm,tterm)</f>
        <v>5.1480185549560757E-3</v>
      </c>
      <c r="L94" s="3" cm="1">
        <f t="array" aca="1" ref="L94" ca="1">thm_D_eff(C94,qi,Di,bi,bf,telf,bterm,tterm)</f>
        <v>0.54168096268832011</v>
      </c>
      <c r="M94" s="2" cm="1">
        <f t="array" aca="1" ref="M94" ca="1">thm_b(C94,qi,Di,bi,bf,telf,bterm,tterm)</f>
        <v>2</v>
      </c>
      <c r="N94" s="2" cm="1">
        <f t="array" aca="1" ref="N94" ca="1">thm_monthly_vol(C94,qi,Di,bi,bf,telf,bterm,tterm)</f>
        <v>12.597576981877953</v>
      </c>
      <c r="O94" s="2" cm="1">
        <f t="array" aca="1" ref="O94" ca="1">thm_cum($C94,qi,Di,bi,bf,telf,bterm,tterm)</f>
        <v>14.946300196035759</v>
      </c>
      <c r="Q94" cm="1">
        <f t="array" aca="1" ref="Q94" ca="1">thm_rate(C94,$F$3,$F$4,$F$5,$F$6,$F$7,$F$8,$F$9)</f>
        <v>241.68251239483922</v>
      </c>
      <c r="R94" s="2" cm="1">
        <f t="array" aca="1" ref="R94" ca="1">thm_cum($C94,$F$3,$F$4,$F$5,$F$6,$F$7,$F$8,$F$9)*$P$3/thm_cum($P$2,$F$3,$F$4,$F$5,$F$6,$F$7,$F$8,$F$9)</f>
        <v>8.7025694548319823</v>
      </c>
      <c r="U94" s="2"/>
      <c r="V94" s="2"/>
      <c r="W94" s="2"/>
      <c r="X94" s="2"/>
      <c r="Y94" s="2"/>
      <c r="Z94" s="2"/>
      <c r="AA94" s="2"/>
    </row>
    <row r="95" spans="2:27" x14ac:dyDescent="0.25">
      <c r="B95" s="6" cm="1">
        <f t="array" ref="B95">B94+log_interval</f>
        <v>3.6265715214656273</v>
      </c>
      <c r="C95" s="8">
        <f t="shared" si="2"/>
        <v>37.583740428844621</v>
      </c>
      <c r="D95" s="6">
        <f ca="1"/>
        <v>374.38778855532126</v>
      </c>
      <c r="E95" s="7">
        <f ca="1"/>
        <v>5.0389435475926498E-3</v>
      </c>
      <c r="F95" s="7">
        <f ca="1"/>
        <v>2</v>
      </c>
      <c r="G95" s="8">
        <f ca="1"/>
        <v>15.737627702758198</v>
      </c>
      <c r="H95" s="20">
        <f t="shared" ca="1" si="7"/>
        <v>13.926235511609905</v>
      </c>
      <c r="I95" s="2"/>
      <c r="J95" s="2" cm="1">
        <f t="array" aca="1" ref="J95" ca="1">thm_rate($C95,qi,Di,bi,bf,telf,bterm,tterm)</f>
        <v>374.38778855532126</v>
      </c>
      <c r="K95" s="2" cm="1">
        <f t="array" aca="1" ref="K95" ca="1">thm_D($C95,qi,Di,bi,bf,telf,bterm,tterm)</f>
        <v>5.0389435475926498E-3</v>
      </c>
      <c r="L95" s="3" cm="1">
        <f t="array" aca="1" ref="L95" ca="1">thm_D_eff(C95,qi,Di,bi,bf,telf,bterm,tterm)</f>
        <v>0.53779665992351089</v>
      </c>
      <c r="M95" s="2" cm="1">
        <f t="array" aca="1" ref="M95" ca="1">thm_b(C95,qi,Di,bi,bf,telf,bterm,tterm)</f>
        <v>2</v>
      </c>
      <c r="N95" s="2" cm="1">
        <f t="array" aca="1" ref="N95" ca="1">thm_monthly_vol(C95,qi,Di,bi,bf,telf,bterm,tterm)</f>
        <v>12.436222304073279</v>
      </c>
      <c r="O95" s="2" cm="1">
        <f t="array" aca="1" ref="O95" ca="1">thm_cum($C95,qi,Di,bi,bf,telf,bterm,tterm)</f>
        <v>15.737627702758198</v>
      </c>
      <c r="Q95" cm="1">
        <f t="array" aca="1" ref="Q95" ca="1">thm_rate(C95,$F$3,$F$4,$F$5,$F$6,$F$7,$F$8,$F$9)</f>
        <v>241.09451509650185</v>
      </c>
      <c r="R95" s="2" cm="1">
        <f t="array" aca="1" ref="R95" ca="1">thm_cum($C95,$F$3,$F$4,$F$5,$F$6,$F$7,$F$8,$F$9)*$P$3/thm_cum($P$2,$F$3,$F$4,$F$5,$F$6,$F$7,$F$8,$F$9)</f>
        <v>9.2069619536089622</v>
      </c>
      <c r="U95" s="2"/>
      <c r="V95" s="2"/>
      <c r="W95" s="2"/>
      <c r="X95" s="2"/>
      <c r="Y95" s="2"/>
      <c r="Z95" s="2"/>
      <c r="AA95" s="2"/>
    </row>
    <row r="96" spans="2:27" x14ac:dyDescent="0.25">
      <c r="B96" s="6" cm="1">
        <f t="array" ref="B96">B95+log_interval</f>
        <v>3.6841361487904787</v>
      </c>
      <c r="C96" s="8">
        <f t="shared" si="2"/>
        <v>39.810717055349947</v>
      </c>
      <c r="D96" s="6">
        <f ca="1"/>
        <v>370.25597475634993</v>
      </c>
      <c r="E96" s="7">
        <f ca="1"/>
        <v>4.9283358272879897E-3</v>
      </c>
      <c r="F96" s="7">
        <f ca="1"/>
        <v>2</v>
      </c>
      <c r="G96" s="8">
        <f ca="1"/>
        <v>16.566754302636475</v>
      </c>
      <c r="H96" s="20">
        <f t="shared" ca="1" si="7"/>
        <v>14.659930101222136</v>
      </c>
      <c r="I96" s="2"/>
      <c r="J96" s="2" cm="1">
        <f t="array" aca="1" ref="J96" ca="1">thm_rate($C96,qi,Di,bi,bf,telf,bterm,tterm)</f>
        <v>370.25597475634993</v>
      </c>
      <c r="K96" s="2" cm="1">
        <f t="array" aca="1" ref="K96" ca="1">thm_D($C96,qi,Di,bi,bf,telf,bterm,tterm)</f>
        <v>4.9283358272879897E-3</v>
      </c>
      <c r="L96" s="3" cm="1">
        <f t="array" aca="1" ref="L96" ca="1">thm_D_eff(C96,qi,Di,bi,bf,telf,bterm,tterm)</f>
        <v>0.53375516326778571</v>
      </c>
      <c r="M96" s="2" cm="1">
        <f t="array" aca="1" ref="M96" ca="1">thm_b(C96,qi,Di,bi,bf,telf,bterm,tterm)</f>
        <v>2</v>
      </c>
      <c r="N96" s="2" cm="1">
        <f t="array" aca="1" ref="N96" ca="1">thm_monthly_vol(C96,qi,Di,bi,bf,telf,bterm,tterm)</f>
        <v>12.27196290950069</v>
      </c>
      <c r="O96" s="2" cm="1">
        <f t="array" aca="1" ref="O96" ca="1">thm_cum($C96,qi,Di,bi,bf,telf,bterm,tterm)</f>
        <v>16.566754302636475</v>
      </c>
      <c r="Q96" cm="1">
        <f t="array" aca="1" ref="Q96" ca="1">thm_rate(C96,$F$3,$F$4,$F$5,$F$6,$F$7,$F$8,$F$9)</f>
        <v>240.47446385552047</v>
      </c>
      <c r="R96" s="2" cm="1">
        <f t="array" aca="1" ref="R96" ca="1">thm_cum($C96,$F$3,$F$4,$F$5,$F$6,$F$7,$F$8,$F$9)*$P$3/thm_cum($P$2,$F$3,$F$4,$F$5,$F$6,$F$7,$F$8,$F$9)</f>
        <v>9.739904608385789</v>
      </c>
      <c r="U96" s="2"/>
      <c r="V96" s="2"/>
      <c r="W96" s="2"/>
      <c r="X96" s="2"/>
      <c r="Y96" s="2"/>
      <c r="Z96" s="2"/>
      <c r="AA96" s="2"/>
    </row>
    <row r="97" spans="2:27" x14ac:dyDescent="0.25">
      <c r="B97" s="6" cm="1">
        <f t="array" ref="B97">B96+log_interval</f>
        <v>3.74170077611533</v>
      </c>
      <c r="C97" s="8">
        <f t="shared" si="2"/>
        <v>42.169650342858468</v>
      </c>
      <c r="D97" s="6">
        <f ca="1"/>
        <v>366.02515862749669</v>
      </c>
      <c r="E97" s="7">
        <f ca="1"/>
        <v>4.8163497669068663E-3</v>
      </c>
      <c r="F97" s="7">
        <f ca="1"/>
        <v>2</v>
      </c>
      <c r="G97" s="8">
        <f ca="1"/>
        <v>17.435144665755402</v>
      </c>
      <c r="H97" s="20">
        <f t="shared" ref="H97:H128" ca="1" si="8">$P$4*G97</f>
        <v>15.428369216774927</v>
      </c>
      <c r="I97" s="2"/>
      <c r="J97" s="2" cm="1">
        <f t="array" aca="1" ref="J97" ca="1">thm_rate($C97,qi,Di,bi,bf,telf,bterm,tterm)</f>
        <v>366.02515862749669</v>
      </c>
      <c r="K97" s="2" cm="1">
        <f t="array" aca="1" ref="K97" ca="1">thm_D($C97,qi,Di,bi,bf,telf,bterm,tterm)</f>
        <v>4.8163497669068663E-3</v>
      </c>
      <c r="L97" s="3" cm="1">
        <f t="array" aca="1" ref="L97" ca="1">thm_D_eff(C97,qi,Di,bi,bf,telf,bterm,tterm)</f>
        <v>0.5295533529697225</v>
      </c>
      <c r="M97" s="2" cm="1">
        <f t="array" aca="1" ref="M97" ca="1">thm_b(C97,qi,Di,bi,bf,telf,bterm,tterm)</f>
        <v>2</v>
      </c>
      <c r="N97" s="2" cm="1">
        <f t="array" aca="1" ref="N97" ca="1">thm_monthly_vol(C97,qi,Di,bi,bf,telf,bterm,tterm)</f>
        <v>12.104948325802127</v>
      </c>
      <c r="O97" s="2" cm="1">
        <f t="array" aca="1" ref="O97" ca="1">thm_cum($C97,qi,Di,bi,bf,telf,bterm,tterm)</f>
        <v>17.435144665755402</v>
      </c>
      <c r="Q97" cm="1">
        <f t="array" aca="1" ref="Q97" ca="1">thm_rate(C97,$F$3,$F$4,$F$5,$F$6,$F$7,$F$8,$F$9)</f>
        <v>239.820778704677</v>
      </c>
      <c r="R97" s="2" cm="1">
        <f t="array" aca="1" ref="R97" ca="1">thm_cum($C97,$F$3,$F$4,$F$5,$F$6,$F$7,$F$8,$F$9)*$P$3/thm_cum($P$2,$F$3,$F$4,$F$5,$F$6,$F$7,$F$8,$F$9)</f>
        <v>10.302932891963284</v>
      </c>
      <c r="U97" s="2"/>
      <c r="V97" s="2"/>
      <c r="W97" s="2"/>
      <c r="X97" s="2"/>
      <c r="Y97" s="2"/>
      <c r="Z97" s="2"/>
      <c r="AA97" s="2"/>
    </row>
    <row r="98" spans="2:27" x14ac:dyDescent="0.25">
      <c r="B98" s="6" cm="1">
        <f t="array" ref="B98">B97+log_interval</f>
        <v>3.7992654034401814</v>
      </c>
      <c r="C98" s="8">
        <f t="shared" ref="C98:C161" si="9">EXP(B98)</f>
        <v>44.668359215096579</v>
      </c>
      <c r="D98" s="6">
        <f ca="1"/>
        <v>361.69812845694867</v>
      </c>
      <c r="E98" s="7">
        <f ca="1"/>
        <v>4.7031482258697282E-3</v>
      </c>
      <c r="F98" s="7">
        <f ca="1"/>
        <v>2</v>
      </c>
      <c r="G98" s="8">
        <f ca="1"/>
        <v>18.34429683879198</v>
      </c>
      <c r="H98" s="20">
        <f t="shared" ca="1" si="8"/>
        <v>16.23287848060637</v>
      </c>
      <c r="I98" s="2"/>
      <c r="J98" s="2" cm="1">
        <f t="array" aca="1" ref="J98" ca="1">thm_rate($C98,qi,Di,bi,bf,telf,bterm,tterm)</f>
        <v>361.69812845694867</v>
      </c>
      <c r="K98" s="2" cm="1">
        <f t="array" aca="1" ref="K98" ca="1">thm_D($C98,qi,Di,bi,bf,telf,bterm,tterm)</f>
        <v>4.7031482258697282E-3</v>
      </c>
      <c r="L98" s="3" cm="1">
        <f t="array" aca="1" ref="L98" ca="1">thm_D_eff(C98,qi,Di,bi,bf,telf,bterm,tterm)</f>
        <v>0.52518833975360868</v>
      </c>
      <c r="M98" s="2" cm="1">
        <f t="array" aca="1" ref="M98" ca="1">thm_b(C98,qi,Di,bi,bf,telf,bterm,tterm)</f>
        <v>2</v>
      </c>
      <c r="N98" s="2" cm="1">
        <f t="array" aca="1" ref="N98" ca="1">thm_monthly_vol(C98,qi,Di,bi,bf,telf,bterm,tterm)</f>
        <v>11.935337881497965</v>
      </c>
      <c r="O98" s="2" cm="1">
        <f t="array" aca="1" ref="O98" ca="1">thm_cum($C98,qi,Di,bi,bf,telf,bterm,tterm)</f>
        <v>18.34429683879198</v>
      </c>
      <c r="Q98" cm="1">
        <f t="array" aca="1" ref="Q98" ca="1">thm_rate(C98,$F$3,$F$4,$F$5,$F$6,$F$7,$F$8,$F$9)</f>
        <v>239.13182133617821</v>
      </c>
      <c r="R98" s="2" cm="1">
        <f t="array" aca="1" ref="R98" ca="1">thm_cum($C98,$F$3,$F$4,$F$5,$F$6,$F$7,$F$8,$F$9)*$P$3/thm_cum($P$2,$F$3,$F$4,$F$5,$F$6,$F$7,$F$8,$F$9)</f>
        <v>10.897655442419671</v>
      </c>
      <c r="U98" s="2"/>
      <c r="V98" s="2"/>
      <c r="W98" s="2"/>
      <c r="X98" s="2"/>
      <c r="Y98" s="2"/>
      <c r="Z98" s="2"/>
      <c r="AA98" s="2"/>
    </row>
    <row r="99" spans="2:27" x14ac:dyDescent="0.25">
      <c r="B99" s="6" cm="1">
        <f t="array" ref="B99">B98+log_interval</f>
        <v>3.8568300307650327</v>
      </c>
      <c r="C99" s="8">
        <f t="shared" si="9"/>
        <v>47.315125896148338</v>
      </c>
      <c r="D99" s="6">
        <f ca="1"/>
        <v>357.27802489950585</v>
      </c>
      <c r="E99" s="7">
        <f ca="1"/>
        <v>4.5889016812460468E-3</v>
      </c>
      <c r="F99" s="7">
        <f ca="1"/>
        <v>2</v>
      </c>
      <c r="G99" s="8">
        <f ca="1"/>
        <v>19.295741941022758</v>
      </c>
      <c r="H99" s="20">
        <f t="shared" ca="1" si="8"/>
        <v>17.074812781016295</v>
      </c>
      <c r="I99" s="2"/>
      <c r="J99" s="2" cm="1">
        <f t="array" aca="1" ref="J99" ca="1">thm_rate($C99,qi,Di,bi,bf,telf,bterm,tterm)</f>
        <v>357.27802489950585</v>
      </c>
      <c r="K99" s="2" cm="1">
        <f t="array" aca="1" ref="K99" ca="1">thm_D($C99,qi,Di,bi,bf,telf,bterm,tterm)</f>
        <v>4.5889016812460468E-3</v>
      </c>
      <c r="L99" s="3" cm="1">
        <f t="array" aca="1" ref="L99" ca="1">thm_D_eff(C99,qi,Di,bi,bf,telf,bterm,tterm)</f>
        <v>0.52065749293148644</v>
      </c>
      <c r="M99" s="2" cm="1">
        <f t="array" aca="1" ref="M99" ca="1">thm_b(C99,qi,Di,bi,bf,telf,bterm,tterm)</f>
        <v>2</v>
      </c>
      <c r="N99" s="2" cm="1">
        <f t="array" aca="1" ref="N99" ca="1">thm_monthly_vol(C99,qi,Di,bi,bf,telf,bterm,tterm)</f>
        <v>11.763299990067026</v>
      </c>
      <c r="O99" s="2" cm="1">
        <f t="array" aca="1" ref="O99" ca="1">thm_cum($C99,qi,Di,bi,bf,telf,bterm,tterm)</f>
        <v>19.295741941022758</v>
      </c>
      <c r="Q99" cm="1">
        <f t="array" aca="1" ref="Q99" ca="1">thm_rate(C99,$F$3,$F$4,$F$5,$F$6,$F$7,$F$8,$F$9)</f>
        <v>238.40589530781941</v>
      </c>
      <c r="R99" s="2" cm="1">
        <f t="array" aca="1" ref="R99" ca="1">thm_cum($C99,$F$3,$F$4,$F$5,$F$6,$F$7,$F$8,$F$9)*$P$3/thm_cum($P$2,$F$3,$F$4,$F$5,$F$6,$F$7,$F$8,$F$9)</f>
        <v>11.525756445379752</v>
      </c>
      <c r="U99" s="2"/>
      <c r="V99" s="2"/>
      <c r="W99" s="2"/>
      <c r="X99" s="2"/>
      <c r="Y99" s="2"/>
      <c r="Z99" s="2"/>
      <c r="AA99" s="2"/>
    </row>
    <row r="100" spans="2:27" x14ac:dyDescent="0.25">
      <c r="B100" s="6" cm="1">
        <f t="array" ref="B100">B99+log_interval</f>
        <v>3.9143946580898841</v>
      </c>
      <c r="C100" s="8">
        <f t="shared" si="9"/>
        <v>50.11872336272755</v>
      </c>
      <c r="D100" s="6">
        <f ca="1"/>
        <v>352.76833282730712</v>
      </c>
      <c r="E100" s="7">
        <f ca="1"/>
        <v>4.4737872596118701E-3</v>
      </c>
      <c r="F100" s="7">
        <f ca="1"/>
        <v>2</v>
      </c>
      <c r="G100" s="8">
        <f ca="1"/>
        <v>20.291043875196671</v>
      </c>
      <c r="H100" s="20">
        <f t="shared" ca="1" si="8"/>
        <v>17.955556016417493</v>
      </c>
      <c r="I100" s="2"/>
      <c r="J100" s="2" cm="1">
        <f t="array" aca="1" ref="J100" ca="1">thm_rate($C100,qi,Di,bi,bf,telf,bterm,tterm)</f>
        <v>352.76833282730712</v>
      </c>
      <c r="K100" s="2" cm="1">
        <f t="array" aca="1" ref="K100" ca="1">thm_D($C100,qi,Di,bi,bf,telf,bterm,tterm)</f>
        <v>4.4737872596118701E-3</v>
      </c>
      <c r="L100" s="3" cm="1">
        <f t="array" aca="1" ref="L100" ca="1">thm_D_eff(C100,qi,Di,bi,bf,telf,bterm,tterm)</f>
        <v>0.51595846910170584</v>
      </c>
      <c r="M100" s="2" cm="1">
        <f t="array" aca="1" ref="M100" ca="1">thm_b(C100,qi,Di,bi,bf,telf,bterm,tterm)</f>
        <v>2</v>
      </c>
      <c r="N100" s="2" cm="1">
        <f t="array" aca="1" ref="N100" ca="1">thm_monthly_vol(C100,qi,Di,bi,bf,telf,bterm,tterm)</f>
        <v>11.589011355968561</v>
      </c>
      <c r="O100" s="2" cm="1">
        <f t="array" aca="1" ref="O100" ca="1">thm_cum($C100,qi,Di,bi,bf,telf,bterm,tterm)</f>
        <v>20.291043875196671</v>
      </c>
      <c r="Q100" cm="1">
        <f t="array" aca="1" ref="Q100" ca="1">thm_rate(C100,$F$3,$F$4,$F$5,$F$6,$F$7,$F$8,$F$9)</f>
        <v>237.64124660029862</v>
      </c>
      <c r="R100" s="2" cm="1">
        <f t="array" aca="1" ref="R100" ca="1">thm_cum($C100,$F$3,$F$4,$F$5,$F$6,$F$7,$F$8,$F$9)*$P$3/thm_cum($P$2,$F$3,$F$4,$F$5,$F$6,$F$7,$F$8,$F$9)</f>
        <v>12.188997957411386</v>
      </c>
      <c r="U100" s="2"/>
      <c r="V100" s="2"/>
      <c r="W100" s="2"/>
      <c r="X100" s="2"/>
      <c r="Y100" s="2"/>
      <c r="Z100" s="2"/>
      <c r="AA100" s="2"/>
    </row>
    <row r="101" spans="2:27" x14ac:dyDescent="0.25">
      <c r="B101" s="6" cm="1">
        <f t="array" ref="B101">B100+log_interval</f>
        <v>3.9719592854147354</v>
      </c>
      <c r="C101" s="8">
        <f t="shared" si="9"/>
        <v>53.088444423099183</v>
      </c>
      <c r="D101" s="6">
        <f ca="1"/>
        <v>348.17287009525586</v>
      </c>
      <c r="E101" s="7">
        <f ca="1"/>
        <v>4.357987680433933E-3</v>
      </c>
      <c r="F101" s="7">
        <f ca="1"/>
        <v>2</v>
      </c>
      <c r="G101" s="8">
        <f ca="1"/>
        <v>21.331799064838957</v>
      </c>
      <c r="H101" s="20">
        <f t="shared" ca="1" si="8"/>
        <v>18.8765208628758</v>
      </c>
      <c r="I101" s="2"/>
      <c r="J101" s="2" cm="1">
        <f t="array" aca="1" ref="J101" ca="1">thm_rate($C101,qi,Di,bi,bf,telf,bterm,tterm)</f>
        <v>348.17287009525586</v>
      </c>
      <c r="K101" s="2" cm="1">
        <f t="array" aca="1" ref="K101" ca="1">thm_D($C101,qi,Di,bi,bf,telf,bterm,tterm)</f>
        <v>4.357987680433933E-3</v>
      </c>
      <c r="L101" s="3" cm="1">
        <f t="array" aca="1" ref="L101" ca="1">thm_D_eff(C101,qi,Di,bi,bf,telf,bterm,tterm)</f>
        <v>0.51108924125376154</v>
      </c>
      <c r="M101" s="2" cm="1">
        <f t="array" aca="1" ref="M101" ca="1">thm_b(C101,qi,Di,bi,bf,telf,bterm,tterm)</f>
        <v>2</v>
      </c>
      <c r="N101" s="2" cm="1">
        <f t="array" aca="1" ref="N101" ca="1">thm_monthly_vol(C101,qi,Di,bi,bf,telf,bterm,tterm)</f>
        <v>11.412656111188502</v>
      </c>
      <c r="O101" s="2" cm="1">
        <f t="array" aca="1" ref="O101" ca="1">thm_cum($C101,qi,Di,bi,bf,telf,bterm,tterm)</f>
        <v>21.331799064838957</v>
      </c>
      <c r="Q101" cm="1">
        <f t="array" aca="1" ref="Q101" ca="1">thm_rate(C101,$F$3,$F$4,$F$5,$F$6,$F$7,$F$8,$F$9)</f>
        <v>236.83606457052028</v>
      </c>
      <c r="R101" s="2" cm="1">
        <f t="array" aca="1" ref="R101" ca="1">thm_cum($C101,$F$3,$F$4,$F$5,$F$6,$F$7,$F$8,$F$9)*$P$3/thm_cum($P$2,$F$3,$F$4,$F$5,$F$6,$F$7,$F$8,$F$9)</f>
        <v>12.889222149054726</v>
      </c>
      <c r="U101" s="2"/>
      <c r="V101" s="2"/>
      <c r="W101" s="2"/>
      <c r="X101" s="2"/>
      <c r="Y101" s="2"/>
      <c r="Z101" s="2"/>
      <c r="AA101" s="2"/>
    </row>
    <row r="102" spans="2:27" x14ac:dyDescent="0.25">
      <c r="B102" s="6" cm="1">
        <f t="array" ref="B102">B101+log_interval</f>
        <v>4.0295239127395863</v>
      </c>
      <c r="C102" s="8">
        <f t="shared" si="9"/>
        <v>56.234132519035263</v>
      </c>
      <c r="D102" s="6">
        <f ca="1"/>
        <v>343.4957732771631</v>
      </c>
      <c r="E102" s="7">
        <f ca="1"/>
        <v>4.2416901237275744E-3</v>
      </c>
      <c r="F102" s="7">
        <f ca="1"/>
        <v>2</v>
      </c>
      <c r="G102" s="8">
        <f ca="1"/>
        <v>22.419636229780217</v>
      </c>
      <c r="H102" s="20">
        <f t="shared" ca="1" si="8"/>
        <v>19.83914857547564</v>
      </c>
      <c r="I102" s="2"/>
      <c r="J102" s="2" cm="1">
        <f t="array" aca="1" ref="J102" ca="1">thm_rate($C102,qi,Di,bi,bf,telf,bterm,tterm)</f>
        <v>343.4957732771631</v>
      </c>
      <c r="K102" s="2" cm="1">
        <f t="array" aca="1" ref="K102" ca="1">thm_D($C102,qi,Di,bi,bf,telf,bterm,tterm)</f>
        <v>4.2416901237275744E-3</v>
      </c>
      <c r="L102" s="3" cm="1">
        <f t="array" aca="1" ref="L102" ca="1">thm_D_eff(C102,qi,Di,bi,bf,telf,bterm,tterm)</f>
        <v>0.50604812807883037</v>
      </c>
      <c r="M102" s="2" cm="1">
        <f t="array" aca="1" ref="M102" ca="1">thm_b(C102,qi,Di,bi,bf,telf,bterm,tterm)</f>
        <v>2</v>
      </c>
      <c r="N102" s="2" cm="1">
        <f t="array" aca="1" ref="N102" ca="1">thm_monthly_vol(C102,qi,Di,bi,bf,telf,bterm,tterm)</f>
        <v>11.234424891983574</v>
      </c>
      <c r="O102" s="2" cm="1">
        <f t="array" aca="1" ref="O102" ca="1">thm_cum($C102,qi,Di,bi,bf,telf,bterm,tterm)</f>
        <v>22.419636229780217</v>
      </c>
      <c r="Q102" cm="1">
        <f t="array" aca="1" ref="Q102" ca="1">thm_rate(C102,$F$3,$F$4,$F$5,$F$6,$F$7,$F$8,$F$9)</f>
        <v>235.9884833487406</v>
      </c>
      <c r="R102" s="2" cm="1">
        <f t="array" aca="1" ref="R102" ca="1">thm_cum($C102,$F$3,$F$4,$F$5,$F$6,$F$7,$F$8,$F$9)*$P$3/thm_cum($P$2,$F$3,$F$4,$F$5,$F$6,$F$7,$F$8,$F$9)</f>
        <v>13.628353443541895</v>
      </c>
      <c r="U102" s="2"/>
      <c r="V102" s="2"/>
      <c r="W102" s="2"/>
      <c r="X102" s="2"/>
      <c r="Y102" s="2"/>
      <c r="Z102" s="2"/>
      <c r="AA102" s="2"/>
    </row>
    <row r="103" spans="2:27" x14ac:dyDescent="0.25">
      <c r="B103" s="6" cm="1">
        <f t="array" ref="B103">B102+log_interval</f>
        <v>4.0870885400644372</v>
      </c>
      <c r="C103" s="8">
        <f t="shared" si="9"/>
        <v>59.566214352901412</v>
      </c>
      <c r="D103" s="6">
        <f ca="1"/>
        <v>338.74148047983863</v>
      </c>
      <c r="E103" s="7">
        <f ca="1"/>
        <v>4.1250850364737586E-3</v>
      </c>
      <c r="F103" s="7">
        <f ca="1"/>
        <v>2</v>
      </c>
      <c r="G103" s="8">
        <f ca="1"/>
        <v>23.556216211755601</v>
      </c>
      <c r="H103" s="20">
        <f t="shared" ca="1" si="8"/>
        <v>20.844908833992648</v>
      </c>
      <c r="I103" s="2"/>
      <c r="J103" s="2" cm="1">
        <f t="array" aca="1" ref="J103" ca="1">thm_rate($C103,qi,Di,bi,bf,telf,bterm,tterm)</f>
        <v>338.74148047983863</v>
      </c>
      <c r="K103" s="2" cm="1">
        <f t="array" aca="1" ref="K103" ca="1">thm_D($C103,qi,Di,bi,bf,telf,bterm,tterm)</f>
        <v>4.1250850364737586E-3</v>
      </c>
      <c r="L103" s="3" cm="1">
        <f t="array" aca="1" ref="L103" ca="1">thm_D_eff(C103,qi,Di,bi,bf,telf,bterm,tterm)</f>
        <v>0.50083382326530468</v>
      </c>
      <c r="M103" s="2" cm="1">
        <f t="array" aca="1" ref="M103" ca="1">thm_b(C103,qi,Di,bi,bf,telf,bterm,tterm)</f>
        <v>2</v>
      </c>
      <c r="N103" s="2" cm="1">
        <f t="array" aca="1" ref="N103" ca="1">thm_monthly_vol(C103,qi,Di,bi,bf,telf,bterm,tterm)</f>
        <v>11.054513866396737</v>
      </c>
      <c r="O103" s="2" cm="1">
        <f t="array" aca="1" ref="O103" ca="1">thm_cum($C103,qi,Di,bi,bf,telf,bterm,tterm)</f>
        <v>23.556216211755601</v>
      </c>
      <c r="Q103" cm="1">
        <f t="array" aca="1" ref="Q103" ca="1">thm_rate(C103,$F$3,$F$4,$F$5,$F$6,$F$7,$F$8,$F$9)</f>
        <v>235.09658373031505</v>
      </c>
      <c r="R103" s="2" cm="1">
        <f t="array" aca="1" ref="R103" ca="1">thm_cum($C103,$F$3,$F$4,$F$5,$F$6,$F$7,$F$8,$F$9)*$P$3/thm_cum($P$2,$F$3,$F$4,$F$5,$F$6,$F$7,$F$8,$F$9)</f>
        <v>14.408400524666025</v>
      </c>
      <c r="U103" s="2"/>
      <c r="V103" s="2"/>
      <c r="W103" s="2"/>
      <c r="X103" s="2"/>
      <c r="Y103" s="2"/>
      <c r="Z103" s="2"/>
      <c r="AA103" s="2"/>
    </row>
    <row r="104" spans="2:27" x14ac:dyDescent="0.25">
      <c r="B104" s="6" cm="1">
        <f t="array" ref="B104">B103+log_interval</f>
        <v>4.1446531673892881</v>
      </c>
      <c r="C104" s="8">
        <f t="shared" si="9"/>
        <v>63.095734448019698</v>
      </c>
      <c r="D104" s="6">
        <f ca="1"/>
        <v>333.91471139259443</v>
      </c>
      <c r="E104" s="7">
        <f ca="1"/>
        <v>4.0083648937113735E-3</v>
      </c>
      <c r="F104" s="7">
        <f ca="1"/>
        <v>2</v>
      </c>
      <c r="G104" s="8">
        <f ca="1"/>
        <v>24.743231861788342</v>
      </c>
      <c r="H104" s="20">
        <f t="shared" ca="1" si="8"/>
        <v>21.895299643239298</v>
      </c>
      <c r="I104" s="2"/>
      <c r="J104" s="2" cm="1">
        <f t="array" aca="1" ref="J104" ca="1">thm_rate($C104,qi,Di,bi,bf,telf,bterm,tterm)</f>
        <v>333.91471139259443</v>
      </c>
      <c r="K104" s="2" cm="1">
        <f t="array" aca="1" ref="K104" ca="1">thm_D($C104,qi,Di,bi,bf,telf,bterm,tterm)</f>
        <v>4.0083648937113735E-3</v>
      </c>
      <c r="L104" s="3" cm="1">
        <f t="array" aca="1" ref="L104" ca="1">thm_D_eff(C104,qi,Di,bi,bf,telf,bterm,tterm)</f>
        <v>0.49544542453895468</v>
      </c>
      <c r="M104" s="2" cm="1">
        <f t="array" aca="1" ref="M104" ca="1">thm_b(C104,qi,Di,bi,bf,telf,bterm,tterm)</f>
        <v>2</v>
      </c>
      <c r="N104" s="2" cm="1">
        <f t="array" aca="1" ref="N104" ca="1">thm_monthly_vol(C104,qi,Di,bi,bf,telf,bterm,tterm)</f>
        <v>10.873123723803539</v>
      </c>
      <c r="O104" s="2" cm="1">
        <f t="array" aca="1" ref="O104" ca="1">thm_cum($C104,qi,Di,bi,bf,telf,bterm,tterm)</f>
        <v>24.743231861788342</v>
      </c>
      <c r="Q104" cm="1">
        <f t="array" aca="1" ref="Q104" ca="1">thm_rate(C104,$F$3,$F$4,$F$5,$F$6,$F$7,$F$8,$F$9)</f>
        <v>234.15839561552747</v>
      </c>
      <c r="R104" s="2" cm="1">
        <f t="array" aca="1" ref="R104" ca="1">thm_cum($C104,$F$3,$F$4,$F$5,$F$6,$F$7,$F$8,$F$9)*$P$3/thm_cum($P$2,$F$3,$F$4,$F$5,$F$6,$F$7,$F$8,$F$9)</f>
        <v>15.231458184540735</v>
      </c>
      <c r="U104" s="2"/>
      <c r="V104" s="2"/>
      <c r="W104" s="2"/>
      <c r="X104" s="2"/>
      <c r="Y104" s="2"/>
      <c r="Z104" s="2"/>
      <c r="AA104" s="2"/>
    </row>
    <row r="105" spans="2:27" x14ac:dyDescent="0.25">
      <c r="B105" s="6" cm="1">
        <f t="array" ref="B105">B104+log_interval</f>
        <v>4.202217794714139</v>
      </c>
      <c r="C105" s="8">
        <f t="shared" si="9"/>
        <v>66.834391756861834</v>
      </c>
      <c r="D105" s="6">
        <f ca="1"/>
        <v>329.02044477748478</v>
      </c>
      <c r="E105" s="7">
        <f ca="1"/>
        <v>3.8917229312942442E-3</v>
      </c>
      <c r="F105" s="7">
        <f ca="1"/>
        <v>2</v>
      </c>
      <c r="G105" s="8">
        <f ca="1"/>
        <v>25.982408000760547</v>
      </c>
      <c r="H105" s="20">
        <f t="shared" ca="1" si="8"/>
        <v>22.991847298173965</v>
      </c>
      <c r="I105" s="2"/>
      <c r="J105" s="2" cm="1">
        <f t="array" aca="1" ref="J105" ca="1">thm_rate($C105,qi,Di,bi,bf,telf,bterm,tterm)</f>
        <v>329.02044477748478</v>
      </c>
      <c r="K105" s="2" cm="1">
        <f t="array" aca="1" ref="K105" ca="1">thm_D($C105,qi,Di,bi,bf,telf,bterm,tterm)</f>
        <v>3.8917229312942442E-3</v>
      </c>
      <c r="L105" s="3" cm="1">
        <f t="array" aca="1" ref="L105" ca="1">thm_D_eff(C105,qi,Di,bi,bf,telf,bterm,tterm)</f>
        <v>0.489882462188442</v>
      </c>
      <c r="M105" s="2" cm="1">
        <f t="array" aca="1" ref="M105" ca="1">thm_b(C105,qi,Di,bi,bf,telf,bterm,tterm)</f>
        <v>2</v>
      </c>
      <c r="N105" s="2" cm="1">
        <f t="array" aca="1" ref="N105" ca="1">thm_monthly_vol(C105,qi,Di,bi,bf,telf,bterm,tterm)</f>
        <v>10.690458638208067</v>
      </c>
      <c r="O105" s="2" cm="1">
        <f t="array" aca="1" ref="O105" ca="1">thm_cum($C105,qi,Di,bi,bf,telf,bterm,tterm)</f>
        <v>25.982408000760547</v>
      </c>
      <c r="Q105" cm="1">
        <f t="array" aca="1" ref="Q105" ca="1">thm_rate(C105,$F$3,$F$4,$F$5,$F$6,$F$7,$F$8,$F$9)</f>
        <v>233.17190105343209</v>
      </c>
      <c r="R105" s="2" cm="1">
        <f t="array" aca="1" ref="R105" ca="1">thm_cum($C105,$F$3,$F$4,$F$5,$F$6,$F$7,$F$8,$F$9)*$P$3/thm_cum($P$2,$F$3,$F$4,$F$5,$F$6,$F$7,$F$8,$F$9)</f>
        <v>16.099708979149018</v>
      </c>
      <c r="U105" s="2"/>
      <c r="V105" s="2"/>
      <c r="W105" s="2"/>
      <c r="X105" s="2"/>
      <c r="Y105" s="2"/>
      <c r="Z105" s="2"/>
      <c r="AA105" s="2"/>
    </row>
    <row r="106" spans="2:27" x14ac:dyDescent="0.25">
      <c r="B106" s="6" cm="1">
        <f t="array" ref="B106">B105+log_interval</f>
        <v>4.2597824220389899</v>
      </c>
      <c r="C106" s="8">
        <f t="shared" si="9"/>
        <v>70.794578438414177</v>
      </c>
      <c r="D106" s="6">
        <f ca="1"/>
        <v>324.06389364975604</v>
      </c>
      <c r="E106" s="7">
        <f ca="1"/>
        <v>3.7753518679792515E-3</v>
      </c>
      <c r="F106" s="7">
        <f ca="1"/>
        <v>2</v>
      </c>
      <c r="G106" s="8">
        <f ca="1"/>
        <v>27.275501464087387</v>
      </c>
      <c r="H106" s="20">
        <f t="shared" ca="1" si="8"/>
        <v>24.136106423433159</v>
      </c>
      <c r="I106" s="2"/>
      <c r="J106" s="2" cm="1">
        <f t="array" aca="1" ref="J106" ca="1">thm_rate($C106,qi,Di,bi,bf,telf,bterm,tterm)</f>
        <v>324.06389364975604</v>
      </c>
      <c r="K106" s="2" cm="1">
        <f t="array" aca="1" ref="K106" ca="1">thm_D($C106,qi,Di,bi,bf,telf,bterm,tterm)</f>
        <v>3.7753518679792515E-3</v>
      </c>
      <c r="L106" s="3" cm="1">
        <f t="array" aca="1" ref="L106" ca="1">thm_D_eff(C106,qi,Di,bi,bf,telf,bterm,tterm)</f>
        <v>0.48414492679902821</v>
      </c>
      <c r="M106" s="2" cm="1">
        <f t="array" aca="1" ref="M106" ca="1">thm_b(C106,qi,Di,bi,bf,telf,bterm,tterm)</f>
        <v>2</v>
      </c>
      <c r="N106" s="2" cm="1">
        <f t="array" aca="1" ref="N106" ca="1">thm_monthly_vol(C106,qi,Di,bi,bf,telf,bterm,tterm)</f>
        <v>10.506725217228471</v>
      </c>
      <c r="O106" s="2" cm="1">
        <f t="array" aca="1" ref="O106" ca="1">thm_cum($C106,qi,Di,bi,bf,telf,bterm,tterm)</f>
        <v>27.275501464087387</v>
      </c>
      <c r="Q106" cm="1">
        <f t="array" aca="1" ref="Q106" ca="1">thm_rate(C106,$F$3,$F$4,$F$5,$F$6,$F$7,$F$8,$F$9)</f>
        <v>232.13503794772078</v>
      </c>
      <c r="R106" s="2" cm="1">
        <f t="array" aca="1" ref="R106" ca="1">thm_cum($C106,$F$3,$F$4,$F$5,$F$6,$F$7,$F$8,$F$9)*$P$3/thm_cum($P$2,$F$3,$F$4,$F$5,$F$6,$F$7,$F$8,$F$9)</f>
        <v>17.015424656652204</v>
      </c>
      <c r="U106" s="2"/>
      <c r="V106" s="2"/>
      <c r="W106" s="2"/>
      <c r="X106" s="2"/>
      <c r="Y106" s="2"/>
      <c r="Z106" s="2"/>
      <c r="AA106" s="2"/>
    </row>
    <row r="107" spans="2:27" x14ac:dyDescent="0.25">
      <c r="B107" s="6" cm="1">
        <f t="array" ref="B107">B106+log_interval</f>
        <v>4.3173470493638408</v>
      </c>
      <c r="C107" s="8">
        <f t="shared" si="9"/>
        <v>74.989420933245967</v>
      </c>
      <c r="D107" s="6">
        <f ca="1"/>
        <v>319.05047843717813</v>
      </c>
      <c r="E107" s="7">
        <f ca="1"/>
        <v>3.6594426347680074E-3</v>
      </c>
      <c r="F107" s="7">
        <f ca="1"/>
        <v>2</v>
      </c>
      <c r="G107" s="8">
        <f ca="1"/>
        <v>28.62430124075965</v>
      </c>
      <c r="H107" s="20">
        <f t="shared" ca="1" si="8"/>
        <v>25.329660096370326</v>
      </c>
      <c r="I107" s="2"/>
      <c r="J107" s="2" cm="1">
        <f t="array" aca="1" ref="J107" ca="1">thm_rate($C107,qi,Di,bi,bf,telf,bterm,tterm)</f>
        <v>319.05047843717813</v>
      </c>
      <c r="K107" s="2" cm="1">
        <f t="array" aca="1" ref="K107" ca="1">thm_D($C107,qi,Di,bi,bf,telf,bterm,tterm)</f>
        <v>3.6594426347680074E-3</v>
      </c>
      <c r="L107" s="3" cm="1">
        <f t="array" aca="1" ref="L107" ca="1">thm_D_eff(C107,qi,Di,bi,bf,telf,bterm,tterm)</f>
        <v>0.47823329590082508</v>
      </c>
      <c r="M107" s="2" cm="1">
        <f t="array" aca="1" ref="M107" ca="1">thm_b(C107,qi,Di,bi,bf,telf,bterm,tterm)</f>
        <v>2</v>
      </c>
      <c r="N107" s="2" cm="1">
        <f t="array" aca="1" ref="N107" ca="1">thm_monthly_vol(C107,qi,Di,bi,bf,telf,bterm,tterm)</f>
        <v>10.322131448697469</v>
      </c>
      <c r="O107" s="2" cm="1">
        <f t="array" aca="1" ref="O107" ca="1">thm_cum($C107,qi,Di,bi,bf,telf,bterm,tterm)</f>
        <v>28.62430124075965</v>
      </c>
      <c r="Q107" cm="1">
        <f t="array" aca="1" ref="Q107" ca="1">thm_rate(C107,$F$3,$F$4,$F$5,$F$6,$F$7,$F$8,$F$9)</f>
        <v>231.04570448422294</v>
      </c>
      <c r="R107" s="2" cm="1">
        <f t="array" aca="1" ref="R107" ca="1">thm_cum($C107,$F$3,$F$4,$F$5,$F$6,$F$7,$F$8,$F$9)*$P$3/thm_cum($P$2,$F$3,$F$4,$F$5,$F$6,$F$7,$F$8,$F$9)</f>
        <v>17.980967320433621</v>
      </c>
      <c r="U107" s="2"/>
      <c r="V107" s="2"/>
      <c r="W107" s="2"/>
      <c r="X107" s="2"/>
      <c r="Y107" s="2"/>
      <c r="Z107" s="2"/>
      <c r="AA107" s="2"/>
    </row>
    <row r="108" spans="2:27" x14ac:dyDescent="0.25">
      <c r="B108" s="6" cm="1">
        <f t="array" ref="B108">B107+log_interval</f>
        <v>4.3749116766886917</v>
      </c>
      <c r="C108" s="8">
        <f t="shared" si="9"/>
        <v>79.432823472428538</v>
      </c>
      <c r="D108" s="6">
        <f ca="1"/>
        <v>313.98579844008577</v>
      </c>
      <c r="E108" s="7">
        <f ca="1"/>
        <v>3.544183129250381E-3</v>
      </c>
      <c r="F108" s="7">
        <f ca="1"/>
        <v>2</v>
      </c>
      <c r="G108" s="8">
        <f ca="1"/>
        <v>30.030628716219006</v>
      </c>
      <c r="H108" s="20">
        <f t="shared" ca="1" si="8"/>
        <v>26.574120061976345</v>
      </c>
      <c r="I108" s="2"/>
      <c r="J108" s="2" cm="1">
        <f t="array" aca="1" ref="J108" ca="1">thm_rate($C108,qi,Di,bi,bf,telf,bterm,tterm)</f>
        <v>313.98579844008577</v>
      </c>
      <c r="K108" s="2" cm="1">
        <f t="array" aca="1" ref="K108" ca="1">thm_D($C108,qi,Di,bi,bf,telf,bterm,tterm)</f>
        <v>3.544183129250381E-3</v>
      </c>
      <c r="L108" s="3" cm="1">
        <f t="array" aca="1" ref="L108" ca="1">thm_D_eff(C108,qi,Di,bi,bf,telf,bterm,tterm)</f>
        <v>0.47214855922317978</v>
      </c>
      <c r="M108" s="2" cm="1">
        <f t="array" aca="1" ref="M108" ca="1">thm_b(C108,qi,Di,bi,bf,telf,bterm,tterm)</f>
        <v>2</v>
      </c>
      <c r="N108" s="2" cm="1">
        <f t="array" aca="1" ref="N108" ca="1">thm_monthly_vol(C108,qi,Di,bi,bf,telf,bterm,tterm)</f>
        <v>10.136885656557006</v>
      </c>
      <c r="O108" s="2" cm="1">
        <f t="array" aca="1" ref="O108" ca="1">thm_cum($C108,qi,Di,bi,bf,telf,bterm,tterm)</f>
        <v>30.030628716219006</v>
      </c>
      <c r="Q108" cm="1">
        <f t="array" aca="1" ref="Q108" ca="1">thm_rate(C108,$F$3,$F$4,$F$5,$F$6,$F$7,$F$8,$F$9)</f>
        <v>229.9017643406323</v>
      </c>
      <c r="R108" s="2" cm="1">
        <f t="array" aca="1" ref="R108" ca="1">thm_cum($C108,$F$3,$F$4,$F$5,$F$6,$F$7,$F$8,$F$9)*$P$3/thm_cum($P$2,$F$3,$F$4,$F$5,$F$6,$F$7,$F$8,$F$9)</f>
        <v>18.998790285818941</v>
      </c>
      <c r="U108" s="2"/>
      <c r="V108" s="2"/>
      <c r="W108" s="2"/>
      <c r="X108" s="2"/>
      <c r="Y108" s="2"/>
      <c r="Z108" s="2"/>
      <c r="AA108" s="2"/>
    </row>
    <row r="109" spans="2:27" x14ac:dyDescent="0.25">
      <c r="B109" s="6" cm="1">
        <f t="array" ref="B109">B108+log_interval</f>
        <v>4.4324763040135426</v>
      </c>
      <c r="C109" s="8">
        <f t="shared" si="9"/>
        <v>84.139514164519909</v>
      </c>
      <c r="D109" s="6">
        <f ca="1"/>
        <v>308.8756019401942</v>
      </c>
      <c r="E109" s="7">
        <f ca="1"/>
        <v>3.4297570121001289E-3</v>
      </c>
      <c r="F109" s="7">
        <f ca="1"/>
        <v>2</v>
      </c>
      <c r="G109" s="8">
        <f ca="1"/>
        <v>31.496338027598373</v>
      </c>
      <c r="H109" s="20">
        <f t="shared" ca="1" si="8"/>
        <v>27.871127047231894</v>
      </c>
      <c r="I109" s="2"/>
      <c r="J109" s="2" cm="1">
        <f t="array" aca="1" ref="J109" ca="1">thm_rate($C109,qi,Di,bi,bf,telf,bterm,tterm)</f>
        <v>308.8756019401942</v>
      </c>
      <c r="K109" s="2" cm="1">
        <f t="array" aca="1" ref="K109" ca="1">thm_D($C109,qi,Di,bi,bf,telf,bterm,tterm)</f>
        <v>3.4297570121001289E-3</v>
      </c>
      <c r="L109" s="3" cm="1">
        <f t="array" aca="1" ref="L109" ca="1">thm_D_eff(C109,qi,Di,bi,bf,telf,bterm,tterm)</f>
        <v>0.46589224223419889</v>
      </c>
      <c r="M109" s="2" cm="1">
        <f t="array" aca="1" ref="M109" ca="1">thm_b(C109,qi,Di,bi,bf,telf,bterm,tterm)</f>
        <v>2</v>
      </c>
      <c r="N109" s="2" cm="1">
        <f t="array" aca="1" ref="N109" ca="1">thm_monthly_vol(C109,qi,Di,bi,bf,telf,bterm,tterm)</f>
        <v>9.9511954772619333</v>
      </c>
      <c r="O109" s="2" cm="1">
        <f t="array" aca="1" ref="O109" ca="1">thm_cum($C109,qi,Di,bi,bf,telf,bterm,tterm)</f>
        <v>31.496338027598373</v>
      </c>
      <c r="Q109" cm="1">
        <f t="array" aca="1" ref="Q109" ca="1">thm_rate(C109,$F$3,$F$4,$F$5,$F$6,$F$7,$F$8,$F$9)</f>
        <v>228.70105273928036</v>
      </c>
      <c r="R109" s="2" cm="1">
        <f t="array" aca="1" ref="R109" ca="1">thm_cum($C109,$F$3,$F$4,$F$5,$F$6,$F$7,$F$8,$F$9)*$P$3/thm_cum($P$2,$F$3,$F$4,$F$5,$F$6,$F$7,$F$8,$F$9)</f>
        <v>20.071438586399577</v>
      </c>
      <c r="U109" s="2"/>
      <c r="V109" s="2"/>
      <c r="W109" s="2"/>
      <c r="X109" s="2"/>
      <c r="Y109" s="2"/>
      <c r="Z109" s="2"/>
      <c r="AA109" s="2"/>
    </row>
    <row r="110" spans="2:27" x14ac:dyDescent="0.25">
      <c r="B110" s="6" cm="1">
        <f t="array" ref="B110">B109+log_interval</f>
        <v>4.4900409313383935</v>
      </c>
      <c r="C110" s="8">
        <f t="shared" si="9"/>
        <v>89.125093813374946</v>
      </c>
      <c r="D110" s="6">
        <f ca="1"/>
        <v>303.72575532490202</v>
      </c>
      <c r="E110" s="7">
        <f ca="1"/>
        <v>3.316342561872721E-3</v>
      </c>
      <c r="F110" s="7">
        <f ca="1"/>
        <v>2</v>
      </c>
      <c r="G110" s="8">
        <f ca="1"/>
        <v>33.023316538820794</v>
      </c>
      <c r="H110" s="20">
        <f t="shared" ca="1" si="8"/>
        <v>29.222351181522729</v>
      </c>
      <c r="I110" s="2"/>
      <c r="J110" s="2" cm="1">
        <f t="array" aca="1" ref="J110" ca="1">thm_rate($C110,qi,Di,bi,bf,telf,bterm,tterm)</f>
        <v>303.72575532490202</v>
      </c>
      <c r="K110" s="2" cm="1">
        <f t="array" aca="1" ref="K110" ca="1">thm_D($C110,qi,Di,bi,bf,telf,bterm,tterm)</f>
        <v>3.316342561872721E-3</v>
      </c>
      <c r="L110" s="3" cm="1">
        <f t="array" aca="1" ref="L110" ca="1">thm_D_eff(C110,qi,Di,bi,bf,telf,bterm,tterm)</f>
        <v>0.45946642763443268</v>
      </c>
      <c r="M110" s="2" cm="1">
        <f t="array" aca="1" ref="M110" ca="1">thm_b(C110,qi,Di,bi,bf,telf,bterm,tterm)</f>
        <v>2</v>
      </c>
      <c r="N110" s="2" cm="1">
        <f t="array" aca="1" ref="N110" ca="1">thm_monthly_vol(C110,qi,Di,bi,bf,telf,bterm,tterm)</f>
        <v>9.7652668672449821</v>
      </c>
      <c r="O110" s="2" cm="1">
        <f t="array" aca="1" ref="O110" ca="1">thm_cum($C110,qi,Di,bi,bf,telf,bterm,tterm)</f>
        <v>33.023316538820794</v>
      </c>
      <c r="Q110" cm="1">
        <f t="array" aca="1" ref="Q110" ca="1">thm_rate(C110,$F$3,$F$4,$F$5,$F$6,$F$7,$F$8,$F$9)</f>
        <v>227.44138340309431</v>
      </c>
      <c r="R110" s="2" cm="1">
        <f t="array" aca="1" ref="R110" ca="1">thm_cum($C110,$F$3,$F$4,$F$5,$F$6,$F$7,$F$8,$F$9)*$P$3/thm_cum($P$2,$F$3,$F$4,$F$5,$F$6,$F$7,$F$8,$F$9)</f>
        <v>21.201549082917072</v>
      </c>
      <c r="U110" s="2"/>
      <c r="V110" s="2"/>
      <c r="W110" s="2"/>
      <c r="X110" s="2"/>
      <c r="Y110" s="2"/>
      <c r="Z110" s="2"/>
      <c r="AA110" s="2"/>
    </row>
    <row r="111" spans="2:27" x14ac:dyDescent="0.25">
      <c r="B111" s="6" cm="1">
        <f t="array" ref="B111">B110+log_interval</f>
        <v>4.5476055586632445</v>
      </c>
      <c r="C111" s="8">
        <f t="shared" si="9"/>
        <v>94.406087628592743</v>
      </c>
      <c r="D111" s="6">
        <f ca="1"/>
        <v>298.54221160446957</v>
      </c>
      <c r="E111" s="7">
        <f ca="1"/>
        <v>3.2041116028892602E-3</v>
      </c>
      <c r="F111" s="7">
        <f ca="1"/>
        <v>2</v>
      </c>
      <c r="G111" s="8">
        <f ca="1"/>
        <v>34.613485441926798</v>
      </c>
      <c r="H111" s="20">
        <f t="shared" ca="1" si="8"/>
        <v>30.629492528754589</v>
      </c>
      <c r="I111" s="2"/>
      <c r="J111" s="2" cm="1">
        <f t="array" aca="1" ref="J111" ca="1">thm_rate($C111,qi,Di,bi,bf,telf,bterm,tterm)</f>
        <v>298.54221160446957</v>
      </c>
      <c r="K111" s="2" cm="1">
        <f t="array" aca="1" ref="K111" ca="1">thm_D($C111,qi,Di,bi,bf,telf,bterm,tterm)</f>
        <v>3.2041116028892602E-3</v>
      </c>
      <c r="L111" s="3" cm="1">
        <f t="array" aca="1" ref="L111" ca="1">thm_D_eff(C111,qi,Di,bi,bf,telf,bterm,tterm)</f>
        <v>0.45287377446687271</v>
      </c>
      <c r="M111" s="2" cm="1">
        <f t="array" aca="1" ref="M111" ca="1">thm_b(C111,qi,Di,bi,bf,telf,bterm,tterm)</f>
        <v>2</v>
      </c>
      <c r="N111" s="2" cm="1">
        <f t="array" aca="1" ref="N111" ca="1">thm_monthly_vol(C111,qi,Di,bi,bf,telf,bterm,tterm)</f>
        <v>9.5793031511562177</v>
      </c>
      <c r="O111" s="2" cm="1">
        <f t="array" aca="1" ref="O111" ca="1">thm_cum($C111,qi,Di,bi,bf,telf,bterm,tterm)</f>
        <v>34.613485441926798</v>
      </c>
      <c r="Q111" cm="1">
        <f t="array" aca="1" ref="Q111" ca="1">thm_rate(C111,$F$3,$F$4,$F$5,$F$6,$F$7,$F$8,$F$9)</f>
        <v>226.12055647310717</v>
      </c>
      <c r="R111" s="2" cm="1">
        <f t="array" aca="1" ref="R111" ca="1">thm_cum($C111,$F$3,$F$4,$F$5,$F$6,$F$7,$F$8,$F$9)*$P$3/thm_cum($P$2,$F$3,$F$4,$F$5,$F$6,$F$7,$F$8,$F$9)</f>
        <v>22.391850124830878</v>
      </c>
      <c r="U111" s="2"/>
      <c r="V111" s="2"/>
      <c r="W111" s="2"/>
      <c r="X111" s="2"/>
      <c r="Y111" s="2"/>
      <c r="Z111" s="2"/>
      <c r="AA111" s="2"/>
    </row>
    <row r="112" spans="2:27" x14ac:dyDescent="0.25">
      <c r="B112" s="6" cm="1">
        <f t="array" ref="B112">B111+log_interval</f>
        <v>4.6051701859880954</v>
      </c>
      <c r="C112" s="8">
        <f t="shared" si="9"/>
        <v>100.0000000000004</v>
      </c>
      <c r="D112" s="6">
        <f ca="1"/>
        <v>293.33097870202403</v>
      </c>
      <c r="E112" s="7">
        <f ca="1"/>
        <v>3.0932285193066406E-3</v>
      </c>
      <c r="F112" s="7">
        <f ca="1"/>
        <v>2</v>
      </c>
      <c r="G112" s="8">
        <f ca="1"/>
        <v>36.268800489820713</v>
      </c>
      <c r="H112" s="20">
        <f t="shared" ca="1" si="8"/>
        <v>32.094281735760816</v>
      </c>
      <c r="I112" s="2"/>
      <c r="J112" s="2" cm="1">
        <f t="array" aca="1" ref="J112" ca="1">thm_rate($C112,qi,Di,bi,bf,telf,bterm,tterm)</f>
        <v>293.33097870202403</v>
      </c>
      <c r="K112" s="2" cm="1">
        <f t="array" aca="1" ref="K112" ca="1">thm_D($C112,qi,Di,bi,bf,telf,bterm,tterm)</f>
        <v>3.0932285193066406E-3</v>
      </c>
      <c r="L112" s="3" cm="1">
        <f t="array" aca="1" ref="L112" ca="1">thm_D_eff(C112,qi,Di,bi,bf,telf,bterm,tterm)</f>
        <v>0.44611753450217817</v>
      </c>
      <c r="M112" s="2" cm="1">
        <f t="array" aca="1" ref="M112" ca="1">thm_b(C112,qi,Di,bi,bf,telf,bterm,tterm)</f>
        <v>2</v>
      </c>
      <c r="N112" s="2" cm="1">
        <f t="array" aca="1" ref="N112" ca="1">thm_monthly_vol(C112,qi,Di,bi,bf,telf,bterm,tterm)</f>
        <v>9.3935041196051721</v>
      </c>
      <c r="O112" s="2" cm="1">
        <f t="array" aca="1" ref="O112" ca="1">thm_cum($C112,qi,Di,bi,bf,telf,bterm,tterm)</f>
        <v>36.268800489820713</v>
      </c>
      <c r="Q112" cm="1">
        <f t="array" aca="1" ref="Q112" ca="1">thm_rate(C112,$F$3,$F$4,$F$5,$F$6,$F$7,$F$8,$F$9)</f>
        <v>224.73636744285565</v>
      </c>
      <c r="R112" s="2" cm="1">
        <f t="array" aca="1" ref="R112" ca="1">thm_cum($C112,$F$3,$F$4,$F$5,$F$6,$F$7,$F$8,$F$9)*$P$3/thm_cum($P$2,$F$3,$F$4,$F$5,$F$6,$F$7,$F$8,$F$9)</f>
        <v>23.645160712025532</v>
      </c>
      <c r="U112" s="2"/>
      <c r="V112" s="2"/>
      <c r="W112" s="2"/>
      <c r="X112" s="2"/>
      <c r="Y112" s="2"/>
      <c r="Z112" s="2"/>
      <c r="AA112" s="2"/>
    </row>
    <row r="113" spans="2:27" x14ac:dyDescent="0.25">
      <c r="B113" s="6" cm="1">
        <f t="array" ref="B113">B112+log_interval</f>
        <v>4.6627348133129463</v>
      </c>
      <c r="C113" s="8">
        <f t="shared" si="9"/>
        <v>105.92537251772929</v>
      </c>
      <c r="D113" s="6">
        <f ca="1"/>
        <v>288.0980878909366</v>
      </c>
      <c r="E113" s="7">
        <f ca="1"/>
        <v>2.9838493665312912E-3</v>
      </c>
      <c r="F113" s="7">
        <f ca="1"/>
        <v>2</v>
      </c>
      <c r="G113" s="8">
        <f ca="1"/>
        <v>37.991252864417838</v>
      </c>
      <c r="H113" s="20">
        <f t="shared" ca="1" si="8"/>
        <v>33.618480800526292</v>
      </c>
      <c r="I113" s="2"/>
      <c r="J113" s="2" cm="1">
        <f t="array" aca="1" ref="J113" ca="1">thm_rate($C113,qi,Di,bi,bf,telf,bterm,tterm)</f>
        <v>288.0980878909366</v>
      </c>
      <c r="K113" s="2" cm="1">
        <f t="array" aca="1" ref="K113" ca="1">thm_D($C113,qi,Di,bi,bf,telf,bterm,tterm)</f>
        <v>2.9838493665312912E-3</v>
      </c>
      <c r="L113" s="3" cm="1">
        <f t="array" aca="1" ref="L113" ca="1">thm_D_eff(C113,qi,Di,bi,bf,telf,bterm,tterm)</f>
        <v>0.43920156555900247</v>
      </c>
      <c r="M113" s="2" cm="1">
        <f t="array" aca="1" ref="M113" ca="1">thm_b(C113,qi,Di,bi,bf,telf,bterm,tterm)</f>
        <v>2</v>
      </c>
      <c r="N113" s="2" cm="1">
        <f t="array" aca="1" ref="N113" ca="1">thm_monthly_vol(C113,qi,Di,bi,bf,telf,bterm,tterm)</f>
        <v>9.2080651840314296</v>
      </c>
      <c r="O113" s="2" cm="1">
        <f t="array" aca="1" ref="O113" ca="1">thm_cum($C113,qi,Di,bi,bf,telf,bterm,tterm)</f>
        <v>37.991252864417838</v>
      </c>
      <c r="Q113" cm="1">
        <f t="array" aca="1" ref="Q113" ca="1">thm_rate(C113,$F$3,$F$4,$F$5,$F$6,$F$7,$F$8,$F$9)</f>
        <v>223.28661716051138</v>
      </c>
      <c r="R113" s="2" cm="1">
        <f t="array" aca="1" ref="R113" ca="1">thm_cum($C113,$F$3,$F$4,$F$5,$F$6,$F$7,$F$8,$F$9)*$P$3/thm_cum($P$2,$F$3,$F$4,$F$5,$F$6,$F$7,$F$8,$F$9)</f>
        <v>24.964389101727924</v>
      </c>
      <c r="U113" s="2"/>
      <c r="V113" s="2"/>
      <c r="W113" s="2"/>
      <c r="X113" s="2"/>
      <c r="Y113" s="2"/>
      <c r="Z113" s="2"/>
      <c r="AA113" s="2"/>
    </row>
    <row r="114" spans="2:27" x14ac:dyDescent="0.25">
      <c r="B114" s="6" cm="1">
        <f t="array" ref="B114">B113+log_interval</f>
        <v>4.7202994406377972</v>
      </c>
      <c r="C114" s="8">
        <f t="shared" si="9"/>
        <v>112.20184543019674</v>
      </c>
      <c r="D114" s="6">
        <f ca="1"/>
        <v>282.84956274113478</v>
      </c>
      <c r="E114" s="7">
        <f ca="1"/>
        <v>2.8761210889977789E-3</v>
      </c>
      <c r="F114" s="7">
        <f ca="1"/>
        <v>2</v>
      </c>
      <c r="G114" s="8">
        <f ca="1"/>
        <v>39.782870182962625</v>
      </c>
      <c r="H114" s="20">
        <f t="shared" ca="1" si="8"/>
        <v>35.20388396267893</v>
      </c>
      <c r="I114" s="2"/>
      <c r="J114" s="2" cm="1">
        <f t="array" aca="1" ref="J114" ca="1">thm_rate($C114,qi,Di,bi,bf,telf,bterm,tterm)</f>
        <v>282.84956274113478</v>
      </c>
      <c r="K114" s="2" cm="1">
        <f t="array" aca="1" ref="K114" ca="1">thm_D($C114,qi,Di,bi,bf,telf,bterm,tterm)</f>
        <v>2.8761210889977789E-3</v>
      </c>
      <c r="L114" s="3" cm="1">
        <f t="array" aca="1" ref="L114" ca="1">thm_D_eff(C114,qi,Di,bi,bf,telf,bterm,tterm)</f>
        <v>0.43213034142501205</v>
      </c>
      <c r="M114" s="2" cm="1">
        <f t="array" aca="1" ref="M114" ca="1">thm_b(C114,qi,Di,bi,bf,telf,bterm,tterm)</f>
        <v>2</v>
      </c>
      <c r="N114" s="2" cm="1">
        <f t="array" aca="1" ref="N114" ca="1">thm_monthly_vol(C114,qi,Di,bi,bf,telf,bterm,tterm)</f>
        <v>9.0231765951431591</v>
      </c>
      <c r="O114" s="2" cm="1">
        <f t="array" aca="1" ref="O114" ca="1">thm_cum($C114,qi,Di,bi,bf,telf,bterm,tterm)</f>
        <v>39.782870182962625</v>
      </c>
      <c r="Q114" cm="1">
        <f t="array" aca="1" ref="Q114" ca="1">thm_rate(C114,$F$3,$F$4,$F$5,$F$6,$F$7,$F$8,$F$9)</f>
        <v>221.76912294344976</v>
      </c>
      <c r="R114" s="2" cm="1">
        <f t="array" aca="1" ref="R114" ca="1">thm_cum($C114,$F$3,$F$4,$F$5,$F$6,$F$7,$F$8,$F$9)*$P$3/thm_cum($P$2,$F$3,$F$4,$F$5,$F$6,$F$7,$F$8,$F$9)</f>
        <v>26.3525308036611</v>
      </c>
      <c r="U114" s="2"/>
      <c r="V114" s="2"/>
      <c r="W114" s="2"/>
      <c r="X114" s="2"/>
      <c r="Y114" s="2"/>
      <c r="Z114" s="2"/>
      <c r="AA114" s="2"/>
    </row>
    <row r="115" spans="2:27" x14ac:dyDescent="0.25">
      <c r="B115" s="6" cm="1">
        <f t="array" ref="B115">B114+log_interval</f>
        <v>4.7778640679626481</v>
      </c>
      <c r="C115" s="8">
        <f t="shared" si="9"/>
        <v>118.85022274370223</v>
      </c>
      <c r="D115" s="6">
        <f ca="1"/>
        <v>277.59138891596945</v>
      </c>
      <c r="E115" s="7">
        <f ca="1"/>
        <v>2.7701808510739502E-3</v>
      </c>
      <c r="F115" s="7">
        <f ca="1"/>
        <v>2</v>
      </c>
      <c r="G115" s="8">
        <f ca="1"/>
        <v>41.645717644101722</v>
      </c>
      <c r="H115" s="20">
        <f t="shared" ca="1" si="8"/>
        <v>36.852318717650348</v>
      </c>
      <c r="I115" s="2"/>
      <c r="J115" s="2" cm="1">
        <f t="array" aca="1" ref="J115" ca="1">thm_rate($C115,qi,Di,bi,bf,telf,bterm,tterm)</f>
        <v>277.59138891596945</v>
      </c>
      <c r="K115" s="2" cm="1">
        <f t="array" aca="1" ref="K115" ca="1">thm_D($C115,qi,Di,bi,bf,telf,bterm,tterm)</f>
        <v>2.7701808510739502E-3</v>
      </c>
      <c r="L115" s="3" cm="1">
        <f t="array" aca="1" ref="L115" ca="1">thm_D_eff(C115,qi,Di,bi,bf,telf,bterm,tterm)</f>
        <v>0.42490895805523698</v>
      </c>
      <c r="M115" s="2" cm="1">
        <f t="array" aca="1" ref="M115" ca="1">thm_b(C115,qi,Di,bi,bf,telf,bterm,tterm)</f>
        <v>2</v>
      </c>
      <c r="N115" s="2" cm="1">
        <f t="array" aca="1" ref="N115" ca="1">thm_monthly_vol(C115,qi,Di,bi,bf,telf,bterm,tterm)</f>
        <v>8.8390227301255564</v>
      </c>
      <c r="O115" s="2" cm="1">
        <f t="array" aca="1" ref="O115" ca="1">thm_cum($C115,qi,Di,bi,bf,telf,bterm,tterm)</f>
        <v>41.645717644101722</v>
      </c>
      <c r="Q115" cm="1">
        <f t="array" aca="1" ref="Q115" ca="1">thm_rate(C115,$F$3,$F$4,$F$5,$F$6,$F$7,$F$8,$F$9)</f>
        <v>220.18173084197304</v>
      </c>
      <c r="R115" s="2" cm="1">
        <f t="array" aca="1" ref="R115" ca="1">thm_cum($C115,$F$3,$F$4,$F$5,$F$6,$F$7,$F$8,$F$9)*$P$3/thm_cum($P$2,$F$3,$F$4,$F$5,$F$6,$F$7,$F$8,$F$9)</f>
        <v>27.812665904881992</v>
      </c>
      <c r="U115" s="2"/>
      <c r="V115" s="2"/>
      <c r="W115" s="2"/>
      <c r="X115" s="2"/>
      <c r="Y115" s="2"/>
      <c r="Z115" s="2"/>
      <c r="AA115" s="2"/>
    </row>
    <row r="116" spans="2:27" x14ac:dyDescent="0.25">
      <c r="B116" s="6" cm="1">
        <f t="array" ref="B116">B115+log_interval</f>
        <v>4.835428695287499</v>
      </c>
      <c r="C116" s="8">
        <f t="shared" si="9"/>
        <v>125.89254117941711</v>
      </c>
      <c r="D116" s="6">
        <f ca="1"/>
        <v>272.32948513517164</v>
      </c>
      <c r="E116" s="7">
        <f ca="1"/>
        <v>2.6661554855419672E-3</v>
      </c>
      <c r="F116" s="7">
        <f ca="1"/>
        <v>2</v>
      </c>
      <c r="G116" s="8">
        <f ca="1"/>
        <v>43.581899314156686</v>
      </c>
      <c r="H116" s="20">
        <f t="shared" ca="1" si="8"/>
        <v>38.565646954899343</v>
      </c>
      <c r="I116" s="2"/>
      <c r="J116" s="2" cm="1">
        <f t="array" aca="1" ref="J116" ca="1">thm_rate($C116,qi,Di,bi,bf,telf,bterm,tterm)</f>
        <v>272.32948513517164</v>
      </c>
      <c r="K116" s="2" cm="1">
        <f t="array" aca="1" ref="K116" ca="1">thm_D($C116,qi,Di,bi,bf,telf,bterm,tterm)</f>
        <v>2.6661554855419672E-3</v>
      </c>
      <c r="L116" s="3" cm="1">
        <f t="array" aca="1" ref="L116" ca="1">thm_D_eff(C116,qi,Di,bi,bf,telf,bterm,tterm)</f>
        <v>0.41754313574132107</v>
      </c>
      <c r="M116" s="2" cm="1">
        <f t="array" aca="1" ref="M116" ca="1">thm_b(C116,qi,Di,bi,bf,telf,bterm,tterm)</f>
        <v>2</v>
      </c>
      <c r="N116" s="2" cm="1">
        <f t="array" aca="1" ref="N116" ca="1">thm_monthly_vol(C116,qi,Di,bi,bf,telf,bterm,tterm)</f>
        <v>8.6557814525629624</v>
      </c>
      <c r="O116" s="2" cm="1">
        <f t="array" aca="1" ref="O116" ca="1">thm_cum($C116,qi,Di,bi,bf,telf,bterm,tterm)</f>
        <v>43.581899314156686</v>
      </c>
      <c r="Q116" cm="1">
        <f t="array" aca="1" ref="Q116" ca="1">thm_rate(C116,$F$3,$F$4,$F$5,$F$6,$F$7,$F$8,$F$9)</f>
        <v>218.52232907888114</v>
      </c>
      <c r="R116" s="2" cm="1">
        <f t="array" aca="1" ref="R116" ca="1">thm_cum($C116,$F$3,$F$4,$F$5,$F$6,$F$7,$F$8,$F$9)*$P$3/thm_cum($P$2,$F$3,$F$4,$F$5,$F$6,$F$7,$F$8,$F$9)</f>
        <v>29.347955664721496</v>
      </c>
      <c r="U116" s="2"/>
      <c r="V116" s="2"/>
      <c r="W116" s="2"/>
      <c r="X116" s="2"/>
      <c r="Y116" s="2"/>
      <c r="Z116" s="2"/>
      <c r="AA116" s="2"/>
    </row>
    <row r="117" spans="2:27" x14ac:dyDescent="0.25">
      <c r="B117" s="6" cm="1">
        <f t="array" ref="B117">B116+log_interval</f>
        <v>4.8929933226123499</v>
      </c>
      <c r="C117" s="8">
        <f t="shared" si="9"/>
        <v>133.35214321633276</v>
      </c>
      <c r="D117" s="6">
        <f ca="1"/>
        <v>267.06967558817217</v>
      </c>
      <c r="E117" s="7">
        <f ca="1"/>
        <v>2.5641610618082422E-3</v>
      </c>
      <c r="F117" s="7">
        <f ca="1"/>
        <v>2</v>
      </c>
      <c r="G117" s="8">
        <f ca="1"/>
        <v>45.593559552973147</v>
      </c>
      <c r="H117" s="20">
        <f t="shared" ca="1" si="8"/>
        <v>40.345766219646563</v>
      </c>
      <c r="I117" s="2"/>
      <c r="J117" s="2" cm="1">
        <f t="array" aca="1" ref="J117" ca="1">thm_rate($C117,qi,Di,bi,bf,telf,bterm,tterm)</f>
        <v>267.06967558817217</v>
      </c>
      <c r="K117" s="2" cm="1">
        <f t="array" aca="1" ref="K117" ca="1">thm_D($C117,qi,Di,bi,bf,telf,bterm,tterm)</f>
        <v>2.5641610618082422E-3</v>
      </c>
      <c r="L117" s="3" cm="1">
        <f t="array" aca="1" ref="L117" ca="1">thm_D_eff(C117,qi,Di,bi,bf,telf,bterm,tterm)</f>
        <v>0.41003921696852386</v>
      </c>
      <c r="M117" s="2" cm="1">
        <f t="array" aca="1" ref="M117" ca="1">thm_b(C117,qi,Di,bi,bf,telf,bterm,tterm)</f>
        <v>2</v>
      </c>
      <c r="N117" s="2" cm="1">
        <f t="array" aca="1" ref="N117" ca="1">thm_monthly_vol(C117,qi,Di,bi,bf,telf,bterm,tterm)</f>
        <v>8.473623547772192</v>
      </c>
      <c r="O117" s="2" cm="1">
        <f t="array" aca="1" ref="O117" ca="1">thm_cum($C117,qi,Di,bi,bf,telf,bterm,tterm)</f>
        <v>45.593559552973147</v>
      </c>
      <c r="Q117" cm="1">
        <f t="array" aca="1" ref="Q117" ca="1">thm_rate(C117,$F$3,$F$4,$F$5,$F$6,$F$7,$F$8,$F$9)</f>
        <v>216.78886267934439</v>
      </c>
      <c r="R117" s="2" cm="1">
        <f t="array" aca="1" ref="R117" ca="1">thm_cum($C117,$F$3,$F$4,$F$5,$F$6,$F$7,$F$8,$F$9)*$P$3/thm_cum($P$2,$F$3,$F$4,$F$5,$F$6,$F$7,$F$8,$F$9)</f>
        <v>30.961638319914677</v>
      </c>
      <c r="U117" s="2"/>
      <c r="V117" s="2"/>
      <c r="W117" s="2"/>
      <c r="X117" s="2"/>
      <c r="Y117" s="2"/>
      <c r="Z117" s="2"/>
      <c r="AA117" s="2"/>
    </row>
    <row r="118" spans="2:27" x14ac:dyDescent="0.25">
      <c r="B118" s="6" cm="1">
        <f t="array" ref="B118">B117+log_interval</f>
        <v>4.9505579499372008</v>
      </c>
      <c r="C118" s="8">
        <f t="shared" si="9"/>
        <v>141.25375446227579</v>
      </c>
      <c r="D118" s="6">
        <f ca="1"/>
        <v>261.81766404669207</v>
      </c>
      <c r="E118" s="7">
        <f ca="1"/>
        <v>2.4643025737787947E-3</v>
      </c>
      <c r="F118" s="7">
        <f ca="1"/>
        <v>2</v>
      </c>
      <c r="G118" s="8">
        <f ca="1"/>
        <v>47.682884577743692</v>
      </c>
      <c r="H118" s="20">
        <f t="shared" ca="1" si="8"/>
        <v>42.194611096702296</v>
      </c>
      <c r="I118" s="2"/>
      <c r="J118" s="2" cm="1">
        <f t="array" aca="1" ref="J118" ca="1">thm_rate($C118,qi,Di,bi,bf,telf,bterm,tterm)</f>
        <v>261.81766404669207</v>
      </c>
      <c r="K118" s="2" cm="1">
        <f t="array" aca="1" ref="K118" ca="1">thm_D($C118,qi,Di,bi,bf,telf,bterm,tterm)</f>
        <v>2.4643025737787947E-3</v>
      </c>
      <c r="L118" s="3" cm="1">
        <f t="array" aca="1" ref="L118" ca="1">thm_D_eff(C118,qi,Di,bi,bf,telf,bterm,tterm)</f>
        <v>0.40240415970739596</v>
      </c>
      <c r="M118" s="2" cm="1">
        <f t="array" aca="1" ref="M118" ca="1">thm_b(C118,qi,Di,bi,bf,telf,bterm,tterm)</f>
        <v>2</v>
      </c>
      <c r="N118" s="2" cm="1">
        <f t="array" aca="1" ref="N118" ca="1">thm_monthly_vol(C118,qi,Di,bi,bf,telf,bterm,tterm)</f>
        <v>8.2927122350344931</v>
      </c>
      <c r="O118" s="2" cm="1">
        <f t="array" aca="1" ref="O118" ca="1">thm_cum($C118,qi,Di,bi,bf,telf,bterm,tterm)</f>
        <v>47.682884577743692</v>
      </c>
      <c r="Q118" cm="1">
        <f t="array" aca="1" ref="Q118" ca="1">thm_rate(C118,$F$3,$F$4,$F$5,$F$6,$F$7,$F$8,$F$9)</f>
        <v>214.97934929093319</v>
      </c>
      <c r="R118" s="2" cm="1">
        <f t="array" aca="1" ref="R118" ca="1">thm_cum($C118,$F$3,$F$4,$F$5,$F$6,$F$7,$F$8,$F$9)*$P$3/thm_cum($P$2,$F$3,$F$4,$F$5,$F$6,$F$7,$F$8,$F$9)</f>
        <v>32.657024040470709</v>
      </c>
      <c r="U118" s="2"/>
      <c r="V118" s="2"/>
      <c r="W118" s="2"/>
      <c r="X118" s="2"/>
      <c r="Y118" s="2"/>
      <c r="Z118" s="2"/>
      <c r="AA118" s="2"/>
    </row>
    <row r="119" spans="2:27" x14ac:dyDescent="0.25">
      <c r="B119" s="6" cm="1">
        <f t="array" ref="B119">B118+log_interval</f>
        <v>5.0081225772620517</v>
      </c>
      <c r="C119" s="8">
        <f t="shared" si="9"/>
        <v>149.62356560944369</v>
      </c>
      <c r="D119" s="6">
        <f ca="1"/>
        <v>256.57900988718023</v>
      </c>
      <c r="E119" s="7">
        <f ca="1"/>
        <v>2.3666737452568655E-3</v>
      </c>
      <c r="F119" s="7">
        <f ca="1"/>
        <v>2</v>
      </c>
      <c r="G119" s="8">
        <f ca="1"/>
        <v>49.852104162326739</v>
      </c>
      <c r="H119" s="20">
        <f t="shared" ca="1" si="8"/>
        <v>44.114154714194633</v>
      </c>
      <c r="I119" s="2"/>
      <c r="J119" s="2" cm="1">
        <f t="array" aca="1" ref="J119" ca="1">thm_rate($C119,qi,Di,bi,bf,telf,bterm,tterm)</f>
        <v>256.57900988718023</v>
      </c>
      <c r="K119" s="2" cm="1">
        <f t="array" aca="1" ref="K119" ca="1">thm_D($C119,qi,Di,bi,bf,telf,bterm,tterm)</f>
        <v>2.3666737452568655E-3</v>
      </c>
      <c r="L119" s="3" cm="1">
        <f t="array" aca="1" ref="L119" ca="1">thm_D_eff(C119,qi,Di,bi,bf,telf,bterm,tterm)</f>
        <v>0.39464552592417812</v>
      </c>
      <c r="M119" s="2" cm="1">
        <f t="array" aca="1" ref="M119" ca="1">thm_b(C119,qi,Di,bi,bf,telf,bterm,tterm)</f>
        <v>2</v>
      </c>
      <c r="N119" s="2" cm="1">
        <f t="array" aca="1" ref="N119" ca="1">thm_monthly_vol(C119,qi,Di,bi,bf,telf,bterm,tterm)</f>
        <v>8.1132027570667375</v>
      </c>
      <c r="O119" s="2" cm="1">
        <f t="array" aca="1" ref="O119" ca="1">thm_cum($C119,qi,Di,bi,bf,telf,bterm,tterm)</f>
        <v>49.852104162326739</v>
      </c>
      <c r="Q119" cm="1">
        <f t="array" aca="1" ref="Q119" ca="1">thm_rate(C119,$F$3,$F$4,$F$5,$F$6,$F$7,$F$8,$F$9)</f>
        <v>213.09189617656875</v>
      </c>
      <c r="R119" s="2" cm="1">
        <f t="array" aca="1" ref="R119" ca="1">thm_cum($C119,$F$3,$F$4,$F$5,$F$6,$F$7,$F$8,$F$9)*$P$3/thm_cum($P$2,$F$3,$F$4,$F$5,$F$6,$F$7,$F$8,$F$9)</f>
        <v>34.4374889782503</v>
      </c>
      <c r="U119" s="2"/>
      <c r="V119" s="2"/>
      <c r="W119" s="2"/>
      <c r="X119" s="2"/>
      <c r="Y119" s="2"/>
      <c r="Z119" s="2"/>
      <c r="AA119" s="2"/>
    </row>
    <row r="120" spans="2:27" x14ac:dyDescent="0.25">
      <c r="B120" s="6" cm="1">
        <f t="array" ref="B120">B119+log_interval</f>
        <v>5.0656872045869026</v>
      </c>
      <c r="C120" s="8">
        <f t="shared" si="9"/>
        <v>158.48931924611168</v>
      </c>
      <c r="D120" s="6">
        <f ca="1"/>
        <v>251.35910619351813</v>
      </c>
      <c r="E120" s="7">
        <f ca="1"/>
        <v>2.2713569488246594E-3</v>
      </c>
      <c r="F120" s="7">
        <f ca="1"/>
        <v>2</v>
      </c>
      <c r="G120" s="8">
        <f ca="1"/>
        <v>52.103493468825206</v>
      </c>
      <c r="H120" s="20">
        <f t="shared" ca="1" si="8"/>
        <v>46.106410364334501</v>
      </c>
      <c r="I120" s="2"/>
      <c r="J120" s="2" cm="1">
        <f t="array" aca="1" ref="J120" ca="1">thm_rate($C120,qi,Di,bi,bf,telf,bterm,tterm)</f>
        <v>251.35910619351813</v>
      </c>
      <c r="K120" s="2" cm="1">
        <f t="array" aca="1" ref="K120" ca="1">thm_D($C120,qi,Di,bi,bf,telf,bterm,tterm)</f>
        <v>2.2713569488246594E-3</v>
      </c>
      <c r="L120" s="3" cm="1">
        <f t="array" aca="1" ref="L120" ca="1">thm_D_eff(C120,qi,Di,bi,bf,telf,bterm,tterm)</f>
        <v>0.38677146513831351</v>
      </c>
      <c r="M120" s="2" cm="1">
        <f t="array" aca="1" ref="M120" ca="1">thm_b(C120,qi,Di,bi,bf,telf,bterm,tterm)</f>
        <v>2</v>
      </c>
      <c r="N120" s="2" cm="1">
        <f t="array" aca="1" ref="N120" ca="1">thm_monthly_vol(C120,qi,Di,bi,bf,telf,bterm,tterm)</f>
        <v>7.9352420460071187</v>
      </c>
      <c r="O120" s="2" cm="1">
        <f t="array" aca="1" ref="O120" ca="1">thm_cum($C120,qi,Di,bi,bf,telf,bterm,tterm)</f>
        <v>52.103493468825206</v>
      </c>
      <c r="Q120" cm="1">
        <f t="array" aca="1" ref="Q120" ca="1">thm_rate(C120,$F$3,$F$4,$F$5,$F$6,$F$7,$F$8,$F$9)</f>
        <v>211.12471834351331</v>
      </c>
      <c r="R120" s="2" cm="1">
        <f t="array" aca="1" ref="R120" ca="1">thm_cum($C120,$F$3,$F$4,$F$5,$F$6,$F$7,$F$8,$F$9)*$P$3/thm_cum($P$2,$F$3,$F$4,$F$5,$F$6,$F$7,$F$8,$F$9)</f>
        <v>36.306468352707327</v>
      </c>
      <c r="U120" s="2"/>
      <c r="V120" s="2"/>
      <c r="W120" s="2"/>
      <c r="X120" s="2"/>
      <c r="Y120" s="2"/>
      <c r="Z120" s="2"/>
      <c r="AA120" s="2"/>
    </row>
    <row r="121" spans="2:27" x14ac:dyDescent="0.25">
      <c r="B121" s="6" cm="1">
        <f t="array" ref="B121">B120+log_interval</f>
        <v>5.1232518319117535</v>
      </c>
      <c r="C121" s="8">
        <f t="shared" si="9"/>
        <v>167.88040181225634</v>
      </c>
      <c r="D121" s="6">
        <f ca="1"/>
        <v>246.16316006955179</v>
      </c>
      <c r="E121" s="7">
        <f ca="1"/>
        <v>2.1784232324989598E-3</v>
      </c>
      <c r="F121" s="7">
        <f ca="1"/>
        <v>2</v>
      </c>
      <c r="G121" s="8">
        <f ca="1"/>
        <v>54.43937500755338</v>
      </c>
      <c r="H121" s="20">
        <f t="shared" ca="1" si="8"/>
        <v>48.173433237791407</v>
      </c>
      <c r="I121" s="2"/>
      <c r="J121" s="2" cm="1">
        <f t="array" aca="1" ref="J121" ca="1">thm_rate($C121,qi,Di,bi,bf,telf,bterm,tterm)</f>
        <v>246.16316006955179</v>
      </c>
      <c r="K121" s="2" cm="1">
        <f t="array" aca="1" ref="K121" ca="1">thm_D($C121,qi,Di,bi,bf,telf,bterm,tterm)</f>
        <v>2.1784232324989598E-3</v>
      </c>
      <c r="L121" s="3" cm="1">
        <f t="array" aca="1" ref="L121" ca="1">thm_D_eff(C121,qi,Di,bi,bf,telf,bterm,tterm)</f>
        <v>0.37879069290696699</v>
      </c>
      <c r="M121" s="2" cm="1">
        <f t="array" aca="1" ref="M121" ca="1">thm_b(C121,qi,Di,bi,bf,telf,bterm,tterm)</f>
        <v>2</v>
      </c>
      <c r="N121" s="2" cm="1">
        <f t="array" aca="1" ref="N121" ca="1">thm_monthly_vol(C121,qi,Di,bi,bf,telf,bterm,tterm)</f>
        <v>7.758968464224111</v>
      </c>
      <c r="O121" s="2" cm="1">
        <f t="array" aca="1" ref="O121" ca="1">thm_cum($C121,qi,Di,bi,bf,telf,bterm,tterm)</f>
        <v>54.43937500755338</v>
      </c>
      <c r="Q121" cm="1">
        <f t="array" aca="1" ref="Q121" ca="1">thm_rate(C121,$F$3,$F$4,$F$5,$F$6,$F$7,$F$8,$F$9)</f>
        <v>209.07615774928817</v>
      </c>
      <c r="R121" s="2" cm="1">
        <f t="array" aca="1" ref="R121" ca="1">thm_cum($C121,$F$3,$F$4,$F$5,$F$6,$F$7,$F$8,$F$9)*$P$3/thm_cum($P$2,$F$3,$F$4,$F$5,$F$6,$F$7,$F$8,$F$9)</f>
        <v>38.267448521963217</v>
      </c>
      <c r="U121" s="2"/>
      <c r="V121" s="2"/>
      <c r="W121" s="2"/>
      <c r="X121" s="2"/>
      <c r="Y121" s="2"/>
      <c r="Z121" s="2"/>
      <c r="AA121" s="2"/>
    </row>
    <row r="122" spans="2:27" x14ac:dyDescent="0.25">
      <c r="B122" s="6" cm="1">
        <f t="array" ref="B122">B121+log_interval</f>
        <v>5.1808164592366044</v>
      </c>
      <c r="C122" s="8">
        <f t="shared" si="9"/>
        <v>177.82794100389256</v>
      </c>
      <c r="D122" s="6">
        <f ca="1"/>
        <v>240.99617525049229</v>
      </c>
      <c r="E122" s="7">
        <f ca="1"/>
        <v>2.0879324470283434E-3</v>
      </c>
      <c r="F122" s="7">
        <f ca="1"/>
        <v>2</v>
      </c>
      <c r="G122" s="8">
        <f ca="1"/>
        <v>56.862120721014122</v>
      </c>
      <c r="H122" s="20">
        <f t="shared" ca="1" si="8"/>
        <v>50.317322267806041</v>
      </c>
      <c r="I122" s="2"/>
      <c r="J122" s="2" cm="1">
        <f t="array" aca="1" ref="J122" ca="1">thm_rate($C122,qi,Di,bi,bf,telf,bterm,tterm)</f>
        <v>240.99617525049229</v>
      </c>
      <c r="K122" s="2" cm="1">
        <f t="array" aca="1" ref="K122" ca="1">thm_D($C122,qi,Di,bi,bf,telf,bterm,tterm)</f>
        <v>2.0879324470283434E-3</v>
      </c>
      <c r="L122" s="3" cm="1">
        <f t="array" aca="1" ref="L122" ca="1">thm_D_eff(C122,qi,Di,bi,bf,telf,bterm,tterm)</f>
        <v>0.37071246417484438</v>
      </c>
      <c r="M122" s="2" cm="1">
        <f t="array" aca="1" ref="M122" ca="1">thm_b(C122,qi,Di,bi,bf,telf,bterm,tterm)</f>
        <v>2</v>
      </c>
      <c r="N122" s="2" cm="1">
        <f t="array" aca="1" ref="N122" ca="1">thm_monthly_vol(C122,qi,Di,bi,bf,telf,bterm,tterm)</f>
        <v>7.5845116174009064</v>
      </c>
      <c r="O122" s="2" cm="1">
        <f t="array" aca="1" ref="O122" ca="1">thm_cum($C122,qi,Di,bi,bf,telf,bterm,tterm)</f>
        <v>56.862120721014122</v>
      </c>
      <c r="Q122" cm="1">
        <f t="array" aca="1" ref="Q122" ca="1">thm_rate(C122,$F$3,$F$4,$F$5,$F$6,$F$7,$F$8,$F$9)</f>
        <v>206.94470350065873</v>
      </c>
      <c r="R122" s="2" cm="1">
        <f t="array" aca="1" ref="R122" ca="1">thm_cum($C122,$F$3,$F$4,$F$5,$F$6,$F$7,$F$8,$F$9)*$P$3/thm_cum($P$2,$F$3,$F$4,$F$5,$F$6,$F$7,$F$8,$F$9)</f>
        <v>40.32395799244388</v>
      </c>
      <c r="U122" s="2"/>
      <c r="V122" s="2"/>
      <c r="W122" s="2"/>
      <c r="X122" s="2"/>
      <c r="Y122" s="2"/>
      <c r="Z122" s="2"/>
      <c r="AA122" s="2"/>
    </row>
    <row r="123" spans="2:27" x14ac:dyDescent="0.25">
      <c r="B123" s="6" cm="1">
        <f t="array" ref="B123">B122+log_interval</f>
        <v>5.2383810865614553</v>
      </c>
      <c r="C123" s="8">
        <f t="shared" si="9"/>
        <v>188.36490894898031</v>
      </c>
      <c r="D123" s="6">
        <f ca="1"/>
        <v>235.8629370629981</v>
      </c>
      <c r="E123" s="7">
        <f ca="1"/>
        <v>1.9999334655445094E-3</v>
      </c>
      <c r="F123" s="7">
        <f ca="1"/>
        <v>2</v>
      </c>
      <c r="G123" s="8">
        <f ca="1"/>
        <v>59.374154187130898</v>
      </c>
      <c r="H123" s="20">
        <f t="shared" ca="1" si="8"/>
        <v>52.540222079831508</v>
      </c>
      <c r="I123" s="2"/>
      <c r="J123" s="2" cm="1">
        <f t="array" aca="1" ref="J123" ca="1">thm_rate($C123,qi,Di,bi,bf,telf,bterm,tterm)</f>
        <v>235.8629370629981</v>
      </c>
      <c r="K123" s="2" cm="1">
        <f t="array" aca="1" ref="K123" ca="1">thm_D($C123,qi,Di,bi,bf,telf,bterm,tterm)</f>
        <v>1.9999334655445094E-3</v>
      </c>
      <c r="L123" s="3" cm="1">
        <f t="array" aca="1" ref="L123" ca="1">thm_D_eff(C123,qi,Di,bi,bf,telf,bterm,tterm)</f>
        <v>0.36254654149239107</v>
      </c>
      <c r="M123" s="2" cm="1">
        <f t="array" aca="1" ref="M123" ca="1">thm_b(C123,qi,Di,bi,bf,telf,bterm,tterm)</f>
        <v>2</v>
      </c>
      <c r="N123" s="2" cm="1">
        <f t="array" aca="1" ref="N123" ca="1">thm_monthly_vol(C123,qi,Di,bi,bf,telf,bterm,tterm)</f>
        <v>7.4119922366099402</v>
      </c>
      <c r="O123" s="2" cm="1">
        <f t="array" aca="1" ref="O123" ca="1">thm_cum($C123,qi,Di,bi,bf,telf,bterm,tterm)</f>
        <v>59.374154187130898</v>
      </c>
      <c r="Q123" cm="1">
        <f t="array" aca="1" ref="Q123" ca="1">thm_rate(C123,$F$3,$F$4,$F$5,$F$6,$F$7,$F$8,$F$9)</f>
        <v>204.7290129346878</v>
      </c>
      <c r="R123" s="2" cm="1">
        <f t="array" aca="1" ref="R123" ca="1">thm_cum($C123,$F$3,$F$4,$F$5,$F$6,$F$7,$F$8,$F$9)*$P$3/thm_cum($P$2,$F$3,$F$4,$F$5,$F$6,$F$7,$F$8,$F$9)</f>
        <v>42.479557326852934</v>
      </c>
      <c r="U123" s="2"/>
      <c r="V123" s="2"/>
      <c r="W123" s="2"/>
      <c r="X123" s="2"/>
      <c r="Y123" s="2"/>
      <c r="Z123" s="2"/>
      <c r="AA123" s="2"/>
    </row>
    <row r="124" spans="2:27" x14ac:dyDescent="0.25">
      <c r="B124" s="6" cm="1">
        <f t="array" ref="B124">B123+log_interval</f>
        <v>5.2959457138863062</v>
      </c>
      <c r="C124" s="8">
        <f t="shared" si="9"/>
        <v>199.52623149688819</v>
      </c>
      <c r="D124" s="6">
        <f ca="1"/>
        <v>230.76799974663979</v>
      </c>
      <c r="E124" s="7">
        <f ca="1"/>
        <v>1.9144644863982724E-3</v>
      </c>
      <c r="F124" s="7">
        <f ca="1"/>
        <v>2</v>
      </c>
      <c r="G124" s="8">
        <f ca="1"/>
        <v>61.977952936727831</v>
      </c>
      <c r="H124" s="20">
        <f t="shared" ca="1" si="8"/>
        <v>54.844325042272736</v>
      </c>
      <c r="I124" s="2"/>
      <c r="J124" s="2" cm="1">
        <f t="array" aca="1" ref="J124" ca="1">thm_rate($C124,qi,Di,bi,bf,telf,bterm,tterm)</f>
        <v>230.76799974663979</v>
      </c>
      <c r="K124" s="2" cm="1">
        <f t="array" aca="1" ref="K124" ca="1">thm_D($C124,qi,Di,bi,bf,telf,bterm,tterm)</f>
        <v>1.9144644863982724E-3</v>
      </c>
      <c r="L124" s="3" cm="1">
        <f t="array" aca="1" ref="L124" ca="1">thm_D_eff(C124,qi,Di,bi,bf,telf,bterm,tterm)</f>
        <v>0.3543031581758469</v>
      </c>
      <c r="M124" s="2" cm="1">
        <f t="array" aca="1" ref="M124" ca="1">thm_b(C124,qi,Di,bi,bf,telf,bterm,tterm)</f>
        <v>2</v>
      </c>
      <c r="N124" s="2" cm="1">
        <f t="array" aca="1" ref="N124" ca="1">thm_monthly_vol(C124,qi,Di,bi,bf,telf,bterm,tterm)</f>
        <v>7.2415221254758535</v>
      </c>
      <c r="O124" s="2" cm="1">
        <f t="array" aca="1" ref="O124" ca="1">thm_cum($C124,qi,Di,bi,bf,telf,bterm,tterm)</f>
        <v>61.977952936727831</v>
      </c>
      <c r="Q124" cm="1">
        <f t="array" aca="1" ref="Q124" ca="1">thm_rate(C124,$F$3,$F$4,$F$5,$F$6,$F$7,$F$8,$F$9)</f>
        <v>202.4279334415821</v>
      </c>
      <c r="R124" s="2" cm="1">
        <f t="array" aca="1" ref="R124" ca="1">thm_cum($C124,$F$3,$F$4,$F$5,$F$6,$F$7,$F$8,$F$9)*$P$3/thm_cum($P$2,$F$3,$F$4,$F$5,$F$6,$F$7,$F$8,$F$9)</f>
        <v>44.737827918388788</v>
      </c>
      <c r="U124" s="2"/>
      <c r="V124" s="2"/>
      <c r="W124" s="2"/>
      <c r="X124" s="2"/>
      <c r="Y124" s="2"/>
      <c r="Z124" s="2"/>
      <c r="AA124" s="2"/>
    </row>
    <row r="125" spans="2:27" x14ac:dyDescent="0.25">
      <c r="B125" s="6" cm="1">
        <f t="array" ref="B125">B124+log_interval</f>
        <v>5.3535103412111571</v>
      </c>
      <c r="C125" s="8">
        <f t="shared" si="9"/>
        <v>211.34890398366485</v>
      </c>
      <c r="D125" s="6">
        <f ca="1"/>
        <v>225.7156761151295</v>
      </c>
      <c r="E125" s="7">
        <f ca="1"/>
        <v>1.8315534093989944E-3</v>
      </c>
      <c r="F125" s="7">
        <f ca="1"/>
        <v>2</v>
      </c>
      <c r="G125" s="8">
        <f ca="1"/>
        <v>64.676050880122091</v>
      </c>
      <c r="H125" s="20">
        <f t="shared" ca="1" si="8"/>
        <v>57.231873413779418</v>
      </c>
      <c r="I125" s="2"/>
      <c r="J125" s="2" cm="1">
        <f t="array" aca="1" ref="J125" ca="1">thm_rate($C125,qi,Di,bi,bf,telf,bterm,tterm)</f>
        <v>225.7156761151295</v>
      </c>
      <c r="K125" s="2" cm="1">
        <f t="array" aca="1" ref="K125" ca="1">thm_D($C125,qi,Di,bi,bf,telf,bterm,tterm)</f>
        <v>1.8315534093989944E-3</v>
      </c>
      <c r="L125" s="3" cm="1">
        <f t="array" aca="1" ref="L125" ca="1">thm_D_eff(C125,qi,Di,bi,bf,telf,bterm,tterm)</f>
        <v>0.34599297655758399</v>
      </c>
      <c r="M125" s="2" cm="1">
        <f t="array" aca="1" ref="M125" ca="1">thm_b(C125,qi,Di,bi,bf,telf,bterm,tterm)</f>
        <v>2</v>
      </c>
      <c r="N125" s="2" cm="1">
        <f t="array" aca="1" ref="N125" ca="1">thm_monthly_vol(C125,qi,Di,bi,bf,telf,bterm,tterm)</f>
        <v>7.0732041680327598</v>
      </c>
      <c r="O125" s="2" cm="1">
        <f t="array" aca="1" ref="O125" ca="1">thm_cum($C125,qi,Di,bi,bf,telf,bterm,tterm)</f>
        <v>64.676050880122091</v>
      </c>
      <c r="Q125" cm="1">
        <f t="array" aca="1" ref="Q125" ca="1">thm_rate(C125,$F$3,$F$4,$F$5,$F$6,$F$7,$F$8,$F$9)</f>
        <v>200.04052485798249</v>
      </c>
      <c r="R125" s="2" cm="1">
        <f t="array" aca="1" ref="R125" ca="1">thm_cum($C125,$F$3,$F$4,$F$5,$F$6,$F$7,$F$8,$F$9)*$P$3/thm_cum($P$2,$F$3,$F$4,$F$5,$F$6,$F$7,$F$8,$F$9)</f>
        <v>47.10235960893916</v>
      </c>
      <c r="U125" s="2"/>
      <c r="V125" s="2"/>
      <c r="W125" s="2"/>
      <c r="X125" s="2"/>
      <c r="Y125" s="2"/>
      <c r="Z125" s="2"/>
      <c r="AA125" s="2"/>
    </row>
    <row r="126" spans="2:27" x14ac:dyDescent="0.25">
      <c r="B126" s="6" cm="1">
        <f t="array" ref="B126">B125+log_interval</f>
        <v>5.411074968536008</v>
      </c>
      <c r="C126" s="8">
        <f t="shared" si="9"/>
        <v>223.87211385683412</v>
      </c>
      <c r="D126" s="6">
        <f ca="1"/>
        <v>220.71002950471689</v>
      </c>
      <c r="E126" s="7">
        <f ca="1"/>
        <v>1.751218275323492E-3</v>
      </c>
      <c r="F126" s="7">
        <f ca="1"/>
        <v>2</v>
      </c>
      <c r="G126" s="8">
        <f ca="1"/>
        <v>67.471040837676568</v>
      </c>
      <c r="H126" s="20">
        <f t="shared" ca="1" si="8"/>
        <v>59.705161582533492</v>
      </c>
      <c r="I126" s="2"/>
      <c r="J126" s="2" cm="1">
        <f t="array" aca="1" ref="J126" ca="1">thm_rate($C126,qi,Di,bi,bf,telf,bterm,tterm)</f>
        <v>220.71002950471689</v>
      </c>
      <c r="K126" s="2" cm="1">
        <f t="array" aca="1" ref="K126" ca="1">thm_D($C126,qi,Di,bi,bf,telf,bterm,tterm)</f>
        <v>1.751218275323492E-3</v>
      </c>
      <c r="L126" s="3" cm="1">
        <f t="array" aca="1" ref="L126" ca="1">thm_D_eff(C126,qi,Di,bi,bf,telf,bterm,tterm)</f>
        <v>0.33762704155332413</v>
      </c>
      <c r="M126" s="2" cm="1">
        <f t="array" aca="1" ref="M126" ca="1">thm_b(C126,qi,Di,bi,bf,telf,bterm,tterm)</f>
        <v>2</v>
      </c>
      <c r="N126" s="2" cm="1">
        <f t="array" aca="1" ref="N126" ca="1">thm_monthly_vol(C126,qi,Di,bi,bf,telf,bterm,tterm)</f>
        <v>6.9071323925072434</v>
      </c>
      <c r="O126" s="2" cm="1">
        <f t="array" aca="1" ref="O126" ca="1">thm_cum($C126,qi,Di,bi,bf,telf,bterm,tterm)</f>
        <v>67.471040837676568</v>
      </c>
      <c r="Q126" cm="1">
        <f t="array" aca="1" ref="Q126" ca="1">thm_rate(C126,$F$3,$F$4,$F$5,$F$6,$F$7,$F$8,$F$9)</f>
        <v>197.56608222697048</v>
      </c>
      <c r="R126" s="2" cm="1">
        <f t="array" aca="1" ref="R126" ca="1">thm_cum($C126,$F$3,$F$4,$F$5,$F$6,$F$7,$F$8,$F$9)*$P$3/thm_cum($P$2,$F$3,$F$4,$F$5,$F$6,$F$7,$F$8,$F$9)</f>
        <v>49.57673714056515</v>
      </c>
      <c r="U126" s="2"/>
      <c r="V126" s="2"/>
      <c r="W126" s="2"/>
      <c r="X126" s="2"/>
      <c r="Y126" s="2"/>
      <c r="Z126" s="2"/>
      <c r="AA126" s="2"/>
    </row>
    <row r="127" spans="2:27" x14ac:dyDescent="0.25">
      <c r="B127" s="6" cm="1">
        <f t="array" ref="B127">B126+log_interval</f>
        <v>5.4686395958608589</v>
      </c>
      <c r="C127" s="8">
        <f t="shared" si="9"/>
        <v>237.13737056616563</v>
      </c>
      <c r="D127" s="6">
        <f ca="1"/>
        <v>215.75486792988281</v>
      </c>
      <c r="E127" s="7">
        <f ca="1"/>
        <v>1.6734677584487058E-3</v>
      </c>
      <c r="F127" s="7">
        <f ca="1"/>
        <v>2</v>
      </c>
      <c r="G127" s="8">
        <f ca="1"/>
        <v>70.365577169250514</v>
      </c>
      <c r="H127" s="20">
        <f t="shared" ca="1" si="8"/>
        <v>62.266538393051469</v>
      </c>
      <c r="I127" s="2"/>
      <c r="J127" s="2" cm="1">
        <f t="array" aca="1" ref="J127" ca="1">thm_rate($C127,qi,Di,bi,bf,telf,bterm,tterm)</f>
        <v>215.75486792988281</v>
      </c>
      <c r="K127" s="2" cm="1">
        <f t="array" aca="1" ref="K127" ca="1">thm_D($C127,qi,Di,bi,bf,telf,bterm,tterm)</f>
        <v>1.6734677584487058E-3</v>
      </c>
      <c r="L127" s="3" cm="1">
        <f t="array" aca="1" ref="L127" ca="1">thm_D_eff(C127,qi,Di,bi,bf,telf,bterm,tterm)</f>
        <v>0.32921672985264372</v>
      </c>
      <c r="M127" s="2" cm="1">
        <f t="array" aca="1" ref="M127" ca="1">thm_b(C127,qi,Di,bi,bf,telf,bterm,tterm)</f>
        <v>2</v>
      </c>
      <c r="N127" s="2" cm="1">
        <f t="array" aca="1" ref="N127" ca="1">thm_monthly_vol(C127,qi,Di,bi,bf,telf,bterm,tterm)</f>
        <v>6.7433920860009664</v>
      </c>
      <c r="O127" s="2" cm="1">
        <f t="array" aca="1" ref="O127" ca="1">thm_cum($C127,qi,Di,bi,bf,telf,bterm,tterm)</f>
        <v>70.365577169250514</v>
      </c>
      <c r="Q127" cm="1">
        <f t="array" aca="1" ref="Q127" ca="1">thm_rate(C127,$F$3,$F$4,$F$5,$F$6,$F$7,$F$8,$F$9)</f>
        <v>195.00415868797594</v>
      </c>
      <c r="R127" s="2" cm="1">
        <f t="array" aca="1" ref="R127" ca="1">thm_cum($C127,$F$3,$F$4,$F$5,$F$6,$F$7,$F$8,$F$9)*$P$3/thm_cum($P$2,$F$3,$F$4,$F$5,$F$6,$F$7,$F$8,$F$9)</f>
        <v>52.164525442954584</v>
      </c>
      <c r="U127" s="2"/>
      <c r="V127" s="2"/>
      <c r="W127" s="2"/>
      <c r="X127" s="2"/>
      <c r="Y127" s="2"/>
      <c r="Z127" s="2"/>
      <c r="AA127" s="2"/>
    </row>
    <row r="128" spans="2:27" x14ac:dyDescent="0.25">
      <c r="B128" s="6" cm="1">
        <f t="array" ref="B128">B127+log_interval</f>
        <v>5.5262042231857098</v>
      </c>
      <c r="C128" s="8">
        <f t="shared" si="9"/>
        <v>251.18864315095806</v>
      </c>
      <c r="D128" s="6">
        <f ca="1"/>
        <v>210.85374034314995</v>
      </c>
      <c r="E128" s="7">
        <f ca="1"/>
        <v>1.5983017019682692E-3</v>
      </c>
      <c r="F128" s="7">
        <f ca="1"/>
        <v>2</v>
      </c>
      <c r="G128" s="8">
        <f ca="1"/>
        <v>73.362378497667649</v>
      </c>
      <c r="H128" s="20">
        <f t="shared" ca="1" si="8"/>
        <v>64.91840955618288</v>
      </c>
      <c r="I128" s="2"/>
      <c r="J128" s="2" cm="1">
        <f t="array" aca="1" ref="J128" ca="1">thm_rate($C128,qi,Di,bi,bf,telf,bterm,tterm)</f>
        <v>210.85374034314995</v>
      </c>
      <c r="K128" s="2" cm="1">
        <f t="array" aca="1" ref="K128" ca="1">thm_D($C128,qi,Di,bi,bf,telf,bterm,tterm)</f>
        <v>1.5983017019682692E-3</v>
      </c>
      <c r="L128" s="3" cm="1">
        <f t="array" aca="1" ref="L128" ca="1">thm_D_eff(C128,qi,Di,bi,bf,telf,bterm,tterm)</f>
        <v>0.32077369511879517</v>
      </c>
      <c r="M128" s="2" cm="1">
        <f t="array" aca="1" ref="M128" ca="1">thm_b(C128,qi,Di,bi,bf,telf,bterm,tterm)</f>
        <v>2</v>
      </c>
      <c r="N128" s="2" cm="1">
        <f t="array" aca="1" ref="N128" ca="1">thm_monthly_vol(C128,qi,Di,bi,bf,telf,bterm,tterm)</f>
        <v>6.5820599548922587</v>
      </c>
      <c r="O128" s="2" cm="1">
        <f t="array" aca="1" ref="O128" ca="1">thm_cum($C128,qi,Di,bi,bf,telf,bterm,tterm)</f>
        <v>73.362378497667649</v>
      </c>
      <c r="Q128" cm="1">
        <f t="array" aca="1" ref="Q128" ca="1">thm_rate(C128,$F$3,$F$4,$F$5,$F$6,$F$7,$F$8,$F$9)</f>
        <v>192.35458822673897</v>
      </c>
      <c r="R128" s="2" cm="1">
        <f t="array" aca="1" ref="R128" ca="1">thm_cum($C128,$F$3,$F$4,$F$5,$F$6,$F$7,$F$8,$F$9)*$P$3/thm_cum($P$2,$F$3,$F$4,$F$5,$F$6,$F$7,$F$8,$F$9)</f>
        <v>54.869253774682029</v>
      </c>
      <c r="U128" s="2"/>
      <c r="V128" s="2"/>
      <c r="W128" s="2"/>
      <c r="X128" s="2"/>
      <c r="Y128" s="2"/>
      <c r="Z128" s="2"/>
      <c r="AA128" s="2"/>
    </row>
    <row r="129" spans="2:27" x14ac:dyDescent="0.25">
      <c r="B129" s="6" cm="1">
        <f t="array" ref="B129">B128+log_interval</f>
        <v>5.5837688505105607</v>
      </c>
      <c r="C129" s="8">
        <f t="shared" si="9"/>
        <v>266.07250597988093</v>
      </c>
      <c r="D129" s="6">
        <f ca="1"/>
        <v>206.00993487657033</v>
      </c>
      <c r="E129" s="7">
        <f ca="1"/>
        <v>1.5257116864494731E-3</v>
      </c>
      <c r="F129" s="7">
        <f ca="1"/>
        <v>2</v>
      </c>
      <c r="G129" s="8">
        <f ca="1"/>
        <v>76.464230521587098</v>
      </c>
      <c r="H129" s="20">
        <f t="shared" ref="H129:H160" ca="1" si="10">$P$4*G129</f>
        <v>67.663240138221312</v>
      </c>
      <c r="I129" s="2"/>
      <c r="J129" s="2" cm="1">
        <f t="array" aca="1" ref="J129" ca="1">thm_rate($C129,qi,Di,bi,bf,telf,bterm,tterm)</f>
        <v>206.00993487657033</v>
      </c>
      <c r="K129" s="2" cm="1">
        <f t="array" aca="1" ref="K129" ca="1">thm_D($C129,qi,Di,bi,bf,telf,bterm,tterm)</f>
        <v>1.5257116864494731E-3</v>
      </c>
      <c r="L129" s="3" cm="1">
        <f t="array" aca="1" ref="L129" ca="1">thm_D_eff(C129,qi,Di,bi,bf,telf,bterm,tterm)</f>
        <v>0.31230980966131638</v>
      </c>
      <c r="M129" s="2" cm="1">
        <f t="array" aca="1" ref="M129" ca="1">thm_b(C129,qi,Di,bi,bf,telf,bterm,tterm)</f>
        <v>2</v>
      </c>
      <c r="N129" s="2" cm="1">
        <f t="array" aca="1" ref="N129" ca="1">thm_monthly_vol(C129,qi,Di,bi,bf,telf,bterm,tterm)</f>
        <v>6.4232043257237876</v>
      </c>
      <c r="O129" s="2" cm="1">
        <f t="array" aca="1" ref="O129" ca="1">thm_cum($C129,qi,Di,bi,bf,telf,bterm,tterm)</f>
        <v>76.464230521587098</v>
      </c>
      <c r="Q129" cm="1">
        <f t="array" aca="1" ref="Q129" ca="1">thm_rate(C129,$F$3,$F$4,$F$5,$F$6,$F$7,$F$8,$F$9)</f>
        <v>189.61750798337405</v>
      </c>
      <c r="R129" s="2" cm="1">
        <f t="array" aca="1" ref="R129" ca="1">thm_cum($C129,$F$3,$F$4,$F$5,$F$6,$F$7,$F$8,$F$9)*$P$3/thm_cum($P$2,$F$3,$F$4,$F$5,$F$6,$F$7,$F$8,$F$9)</f>
        <v>57.694398752987738</v>
      </c>
      <c r="U129" s="2"/>
      <c r="V129" s="2"/>
      <c r="W129" s="2"/>
      <c r="X129" s="2"/>
      <c r="Y129" s="2"/>
      <c r="Z129" s="2"/>
      <c r="AA129" s="2"/>
    </row>
    <row r="130" spans="2:27" x14ac:dyDescent="0.25">
      <c r="B130" s="6" cm="1">
        <f t="array" ref="B130">B129+log_interval</f>
        <v>5.6413334778354116</v>
      </c>
      <c r="C130" s="8">
        <f t="shared" si="9"/>
        <v>281.83829312644531</v>
      </c>
      <c r="D130" s="6">
        <f ca="1"/>
        <v>201.2264789272281</v>
      </c>
      <c r="E130" s="7">
        <f ca="1"/>
        <v>1.4556816219445108E-3</v>
      </c>
      <c r="F130" s="7">
        <f ca="1"/>
        <v>2</v>
      </c>
      <c r="G130" s="8">
        <f ca="1"/>
        <v>79.673988913495165</v>
      </c>
      <c r="H130" s="20">
        <f t="shared" ca="1" si="10"/>
        <v>70.503557125339</v>
      </c>
      <c r="I130" s="2"/>
      <c r="J130" s="2" cm="1">
        <f t="array" aca="1" ref="J130" ca="1">thm_rate($C130,qi,Di,bi,bf,telf,bterm,tterm)</f>
        <v>201.2264789272281</v>
      </c>
      <c r="K130" s="2" cm="1">
        <f t="array" aca="1" ref="K130" ca="1">thm_D($C130,qi,Di,bi,bf,telf,bterm,tterm)</f>
        <v>1.4556816219445108E-3</v>
      </c>
      <c r="L130" s="3" cm="1">
        <f t="array" aca="1" ref="L130" ca="1">thm_D_eff(C130,qi,Di,bi,bf,telf,bterm,tterm)</f>
        <v>0.30383710311803847</v>
      </c>
      <c r="M130" s="2" cm="1">
        <f t="array" aca="1" ref="M130" ca="1">thm_b(C130,qi,Di,bi,bf,telf,bterm,tterm)</f>
        <v>2</v>
      </c>
      <c r="N130" s="2" cm="1">
        <f t="array" aca="1" ref="N130" ca="1">thm_monthly_vol(C130,qi,Di,bi,bf,telf,bterm,tterm)</f>
        <v>6.2668853813720631</v>
      </c>
      <c r="O130" s="2" cm="1">
        <f t="array" aca="1" ref="O130" ca="1">thm_cum($C130,qi,Di,bi,bf,telf,bterm,tterm)</f>
        <v>79.673988913495165</v>
      </c>
      <c r="Q130" cm="1">
        <f t="array" aca="1" ref="Q130" ca="1">thm_rate(C130,$F$3,$F$4,$F$5,$F$6,$F$7,$F$8,$F$9)</f>
        <v>186.79337978643633</v>
      </c>
      <c r="R130" s="2" cm="1">
        <f t="array" aca="1" ref="R130" ca="1">thm_cum($C130,$F$3,$F$4,$F$5,$F$6,$F$7,$F$8,$F$9)*$P$3/thm_cum($P$2,$F$3,$F$4,$F$5,$F$6,$F$7,$F$8,$F$9)</f>
        <v>60.643366325286621</v>
      </c>
      <c r="U130" s="2"/>
      <c r="V130" s="2"/>
      <c r="W130" s="2"/>
      <c r="X130" s="2"/>
      <c r="Y130" s="2"/>
      <c r="Z130" s="2"/>
      <c r="AA130" s="2"/>
    </row>
    <row r="131" spans="2:27" x14ac:dyDescent="0.25">
      <c r="B131" s="6" cm="1">
        <f t="array" ref="B131">B130+log_interval</f>
        <v>5.6988981051602625</v>
      </c>
      <c r="C131" s="8">
        <f t="shared" si="9"/>
        <v>298.5382618917958</v>
      </c>
      <c r="D131" s="6">
        <f ca="1"/>
        <v>196.50614093778009</v>
      </c>
      <c r="E131" s="7">
        <f ca="1"/>
        <v>1.3881883549579268E-3</v>
      </c>
      <c r="F131" s="7">
        <f ca="1"/>
        <v>2</v>
      </c>
      <c r="G131" s="8">
        <f ca="1"/>
        <v>82.994582298930311</v>
      </c>
      <c r="H131" s="20">
        <f t="shared" ca="1" si="10"/>
        <v>73.441952059904594</v>
      </c>
      <c r="I131" s="2"/>
      <c r="J131" s="2" cm="1">
        <f t="array" aca="1" ref="J131" ca="1">thm_rate($C131,qi,Di,bi,bf,telf,bterm,tterm)</f>
        <v>196.50614093778009</v>
      </c>
      <c r="K131" s="2" cm="1">
        <f t="array" aca="1" ref="K131" ca="1">thm_D($C131,qi,Di,bi,bf,telf,bterm,tterm)</f>
        <v>1.3881883549579268E-3</v>
      </c>
      <c r="L131" s="3" cm="1">
        <f t="array" aca="1" ref="L131" ca="1">thm_D_eff(C131,qi,Di,bi,bf,telf,bterm,tterm)</f>
        <v>0.29536769874976554</v>
      </c>
      <c r="M131" s="2" cm="1">
        <f t="array" aca="1" ref="M131" ca="1">thm_b(C131,qi,Di,bi,bf,telf,bterm,tterm)</f>
        <v>2</v>
      </c>
      <c r="N131" s="2" cm="1">
        <f t="array" aca="1" ref="N131" ca="1">thm_monthly_vol(C131,qi,Di,bi,bf,telf,bterm,tterm)</f>
        <v>6.1131554274051041</v>
      </c>
      <c r="O131" s="2" cm="1">
        <f t="array" aca="1" ref="O131" ca="1">thm_cum($C131,qi,Di,bi,bf,telf,bterm,tterm)</f>
        <v>82.994582298930311</v>
      </c>
      <c r="Q131" cm="1">
        <f t="array" aca="1" ref="Q131" ca="1">thm_rate(C131,$F$3,$F$4,$F$5,$F$6,$F$7,$F$8,$F$9)</f>
        <v>183.88301055381817</v>
      </c>
      <c r="R131" s="2" cm="1">
        <f t="array" aca="1" ref="R131" ca="1">thm_cum($C131,$F$3,$F$4,$F$5,$F$6,$F$7,$F$8,$F$9)*$P$3/thm_cum($P$2,$F$3,$F$4,$F$5,$F$6,$F$7,$F$8,$F$9)</f>
        <v>63.719472755552779</v>
      </c>
      <c r="U131" s="2"/>
      <c r="V131" s="2"/>
      <c r="W131" s="2"/>
      <c r="X131" s="2"/>
      <c r="Y131" s="2"/>
      <c r="Z131" s="2"/>
      <c r="AA131" s="2"/>
    </row>
    <row r="132" spans="2:27" x14ac:dyDescent="0.25">
      <c r="B132" s="6" cm="1">
        <f t="array" ref="B132">B131+log_interval</f>
        <v>5.7564627324851134</v>
      </c>
      <c r="C132" s="8">
        <f t="shared" si="9"/>
        <v>316.22776601683768</v>
      </c>
      <c r="D132" s="6">
        <f ca="1"/>
        <v>191.85143371544359</v>
      </c>
      <c r="E132" s="7">
        <f ca="1"/>
        <v>1.3232022821607484E-3</v>
      </c>
      <c r="F132" s="7">
        <f ca="1"/>
        <v>2</v>
      </c>
      <c r="G132" s="8">
        <f ca="1"/>
        <v>86.429015313488819</v>
      </c>
      <c r="H132" s="20">
        <f t="shared" ca="1" si="10"/>
        <v>76.481083745629235</v>
      </c>
      <c r="I132" s="2"/>
      <c r="J132" s="2" cm="1">
        <f t="array" aca="1" ref="J132" ca="1">thm_rate($C132,qi,Di,bi,bf,telf,bterm,tterm)</f>
        <v>191.85143371544359</v>
      </c>
      <c r="K132" s="2" cm="1">
        <f t="array" aca="1" ref="K132" ca="1">thm_D($C132,qi,Di,bi,bf,telf,bterm,tterm)</f>
        <v>1.3232022821607484E-3</v>
      </c>
      <c r="L132" s="3" cm="1">
        <f t="array" aca="1" ref="L132" ca="1">thm_D_eff(C132,qi,Di,bi,bf,telf,bterm,tterm)</f>
        <v>0.28691374800897174</v>
      </c>
      <c r="M132" s="2" cm="1">
        <f t="array" aca="1" ref="M132" ca="1">thm_b(C132,qi,Di,bi,bf,telf,bterm,tterm)</f>
        <v>2</v>
      </c>
      <c r="N132" s="2" cm="1">
        <f t="array" aca="1" ref="N132" ca="1">thm_monthly_vol(C132,qi,Di,bi,bf,telf,bterm,tterm)</f>
        <v>5.9620591837040564</v>
      </c>
      <c r="O132" s="2" cm="1">
        <f t="array" aca="1" ref="O132" ca="1">thm_cum($C132,qi,Di,bi,bf,telf,bterm,tterm)</f>
        <v>86.429015313488819</v>
      </c>
      <c r="Q132" cm="1">
        <f t="array" aca="1" ref="Q132" ca="1">thm_rate(C132,$F$3,$F$4,$F$5,$F$6,$F$7,$F$8,$F$9)</f>
        <v>180.88757117853655</v>
      </c>
      <c r="R132" s="2" cm="1">
        <f t="array" aca="1" ref="R132" ca="1">thm_cum($C132,$F$3,$F$4,$F$5,$F$6,$F$7,$F$8,$F$9)*$P$3/thm_cum($P$2,$F$3,$F$4,$F$5,$F$6,$F$7,$F$8,$F$9)</f>
        <v>66.925924719856482</v>
      </c>
      <c r="U132" s="2"/>
      <c r="V132" s="2"/>
      <c r="W132" s="2"/>
      <c r="X132" s="2"/>
      <c r="Y132" s="2"/>
      <c r="Z132" s="2"/>
      <c r="AA132" s="2"/>
    </row>
    <row r="133" spans="2:27" x14ac:dyDescent="0.25">
      <c r="B133" s="6" cm="1">
        <f t="array" ref="B133">B132+log_interval</f>
        <v>5.8140273598099643</v>
      </c>
      <c r="C133" s="8">
        <f t="shared" si="9"/>
        <v>334.96543915782729</v>
      </c>
      <c r="D133" s="6">
        <f ca="1"/>
        <v>187.26461912863462</v>
      </c>
      <c r="E133" s="7">
        <f ca="1"/>
        <v>1.2606879635019515E-3</v>
      </c>
      <c r="F133" s="7">
        <f ca="1"/>
        <v>2</v>
      </c>
      <c r="G133" s="8">
        <f ca="1"/>
        <v>89.980371734632016</v>
      </c>
      <c r="H133" s="20">
        <f t="shared" ca="1" si="10"/>
        <v>79.623681018904435</v>
      </c>
      <c r="I133" s="2"/>
      <c r="J133" s="2" cm="1">
        <f t="array" aca="1" ref="J133" ca="1">thm_rate($C133,qi,Di,bi,bf,telf,bterm,tterm)</f>
        <v>187.26461912863462</v>
      </c>
      <c r="K133" s="2" cm="1">
        <f t="array" aca="1" ref="K133" ca="1">thm_D($C133,qi,Di,bi,bf,telf,bterm,tterm)</f>
        <v>1.2606879635019515E-3</v>
      </c>
      <c r="L133" s="3" cm="1">
        <f t="array" aca="1" ref="L133" ca="1">thm_D_eff(C133,qi,Di,bi,bf,telf,bterm,tterm)</f>
        <v>0.27848736409130836</v>
      </c>
      <c r="M133" s="2" cm="1">
        <f t="array" aca="1" ref="M133" ca="1">thm_b(C133,qi,Di,bi,bf,telf,bterm,tterm)</f>
        <v>2</v>
      </c>
      <c r="N133" s="2" cm="1">
        <f t="array" aca="1" ref="N133" ca="1">thm_monthly_vol(C133,qi,Di,bi,bf,telf,bterm,tterm)</f>
        <v>5.8136340966514979</v>
      </c>
      <c r="O133" s="2" cm="1">
        <f t="array" aca="1" ref="O133" ca="1">thm_cum($C133,qi,Di,bi,bf,telf,bterm,tterm)</f>
        <v>89.980371734632016</v>
      </c>
      <c r="Q133" cm="1">
        <f t="array" aca="1" ref="Q133" ca="1">thm_rate(C133,$F$3,$F$4,$F$5,$F$6,$F$7,$F$8,$F$9)</f>
        <v>177.80861350029082</v>
      </c>
      <c r="R133" s="2" cm="1">
        <f t="array" aca="1" ref="R133" ca="1">thm_cum($C133,$F$3,$F$4,$F$5,$F$6,$F$7,$F$8,$F$9)*$P$3/thm_cum($P$2,$F$3,$F$4,$F$5,$F$6,$F$7,$F$8,$F$9)</f>
        <v>70.265798627347436</v>
      </c>
      <c r="U133" s="2"/>
      <c r="V133" s="2"/>
      <c r="W133" s="2"/>
      <c r="X133" s="2"/>
      <c r="Y133" s="2"/>
      <c r="Z133" s="2"/>
      <c r="AA133" s="2"/>
    </row>
    <row r="134" spans="2:27" x14ac:dyDescent="0.25">
      <c r="B134" s="6" cm="1">
        <f t="array" ref="B134">B133+log_interval</f>
        <v>5.8715919871348152</v>
      </c>
      <c r="C134" s="8">
        <f t="shared" si="9"/>
        <v>354.81338923357498</v>
      </c>
      <c r="D134" s="6">
        <f ca="1"/>
        <v>182.73160115380236</v>
      </c>
      <c r="E134" s="7">
        <f ca="1"/>
        <v>1.2111631083915092E-3</v>
      </c>
      <c r="F134" s="7">
        <f ca="1"/>
        <v>1.5548658761825556</v>
      </c>
      <c r="G134" s="8">
        <f ca="1"/>
        <v>93.651728591409125</v>
      </c>
      <c r="H134" s="20">
        <f t="shared" ca="1" si="10"/>
        <v>82.872466744448133</v>
      </c>
      <c r="I134" s="2"/>
      <c r="J134" s="2" cm="1">
        <f t="array" aca="1" ref="J134" ca="1">thm_rate($C134,qi,Di,bi,bf,telf,bterm,tterm)</f>
        <v>182.73160115380236</v>
      </c>
      <c r="K134" s="2" cm="1">
        <f t="array" aca="1" ref="K134" ca="1">thm_D($C134,qi,Di,bi,bf,telf,bterm,tterm)</f>
        <v>1.2111631083915092E-3</v>
      </c>
      <c r="L134" s="3" cm="1">
        <f t="array" aca="1" ref="L134" ca="1">thm_D_eff(C134,qi,Di,bi,bf,telf,bterm,tterm)</f>
        <v>0.28584238357616187</v>
      </c>
      <c r="M134" s="2" cm="1">
        <f t="array" aca="1" ref="M134" ca="1">thm_b(C134,qi,Di,bi,bf,telf,bterm,tterm)</f>
        <v>1.5548658761825556</v>
      </c>
      <c r="N134" s="2" cm="1">
        <f t="array" aca="1" ref="N134" ca="1">thm_monthly_vol(C134,qi,Di,bi,bf,telf,bterm,tterm)</f>
        <v>5.6678215730535584</v>
      </c>
      <c r="O134" s="2" cm="1">
        <f t="array" aca="1" ref="O134" ca="1">thm_cum($C134,qi,Di,bi,bf,telf,bterm,tterm)</f>
        <v>93.651728591409125</v>
      </c>
      <c r="Q134" cm="1">
        <f t="array" aca="1" ref="Q134" ca="1">thm_rate(C134,$F$3,$F$4,$F$5,$F$6,$F$7,$F$8,$F$9)</f>
        <v>174.64808495336632</v>
      </c>
      <c r="R134" s="2" cm="1">
        <f t="array" aca="1" ref="R134" ca="1">thm_cum($C134,$F$3,$F$4,$F$5,$F$6,$F$7,$F$8,$F$9)*$P$3/thm_cum($P$2,$F$3,$F$4,$F$5,$F$6,$F$7,$F$8,$F$9)</f>
        <v>73.742019305490501</v>
      </c>
    </row>
    <row r="135" spans="2:27" x14ac:dyDescent="0.25">
      <c r="B135" s="6" cm="1">
        <f t="array" ref="B135">B134+log_interval</f>
        <v>5.9291566144596661</v>
      </c>
      <c r="C135" s="8">
        <f t="shared" si="9"/>
        <v>375.83740428844362</v>
      </c>
      <c r="D135" s="6">
        <f ca="1"/>
        <v>178.22486906657363</v>
      </c>
      <c r="E135" s="7">
        <f ca="1"/>
        <v>1.1650365782455579E-3</v>
      </c>
      <c r="F135" s="7">
        <f ca="1"/>
        <v>1.5548658761825556</v>
      </c>
      <c r="G135" s="8">
        <f ca="1"/>
        <v>97.445601981272702</v>
      </c>
      <c r="H135" s="20">
        <f t="shared" ca="1" si="10"/>
        <v>86.229667418296216</v>
      </c>
      <c r="I135" s="2"/>
      <c r="J135" s="2" cm="1">
        <f t="array" aca="1" ref="J135" ca="1">thm_rate($C135,qi,Di,bi,bf,telf,bterm,tterm)</f>
        <v>178.22486906657363</v>
      </c>
      <c r="K135" s="2" cm="1">
        <f t="array" aca="1" ref="K135" ca="1">thm_D($C135,qi,Di,bi,bf,telf,bterm,tterm)</f>
        <v>1.1650365782455579E-3</v>
      </c>
      <c r="L135" s="3" cm="1">
        <f t="array" aca="1" ref="L135" ca="1">thm_D_eff(C135,qi,Di,bi,bf,telf,bterm,tterm)</f>
        <v>0.27862162131756407</v>
      </c>
      <c r="M135" s="2" cm="1">
        <f t="array" aca="1" ref="M135" ca="1">thm_b(C135,qi,Di,bi,bf,telf,bterm,tterm)</f>
        <v>1.5548658761825556</v>
      </c>
      <c r="N135" s="2" cm="1">
        <f t="array" aca="1" ref="N135" ca="1">thm_monthly_vol(C135,qi,Di,bi,bf,telf,bterm,tterm)</f>
        <v>5.5239168005118842</v>
      </c>
      <c r="O135" s="2" cm="1">
        <f t="array" aca="1" ref="O135" ca="1">thm_cum($C135,qi,Di,bi,bf,telf,bterm,tterm)</f>
        <v>97.445601981272702</v>
      </c>
      <c r="Q135" cm="1">
        <f t="array" aca="1" ref="Q135" ca="1">thm_rate(C135,$F$3,$F$4,$F$5,$F$6,$F$7,$F$8,$F$9)</f>
        <v>171.4083404793036</v>
      </c>
      <c r="R135" s="2" cm="1">
        <f t="array" aca="1" ref="R135" ca="1">thm_cum($C135,$F$3,$F$4,$F$5,$F$6,$F$7,$F$8,$F$9)*$P$3/thm_cum($P$2,$F$3,$F$4,$F$5,$F$6,$F$7,$F$8,$F$9)</f>
        <v>77.357338210903023</v>
      </c>
    </row>
    <row r="136" spans="2:27" x14ac:dyDescent="0.25">
      <c r="B136" s="6" cm="1">
        <f t="array" ref="B136">B135+log_interval</f>
        <v>5.986721241784517</v>
      </c>
      <c r="C136" s="8">
        <f t="shared" si="9"/>
        <v>398.10717055349653</v>
      </c>
      <c r="D136" s="6">
        <f ca="1"/>
        <v>173.74880999479925</v>
      </c>
      <c r="E136" s="7">
        <f ca="1"/>
        <v>1.1198601448697849E-3</v>
      </c>
      <c r="F136" s="7">
        <f ca="1"/>
        <v>1.5548658761825556</v>
      </c>
      <c r="G136" s="8">
        <f ca="1"/>
        <v>101.3642479776715</v>
      </c>
      <c r="H136" s="20">
        <f t="shared" ca="1" si="10"/>
        <v>89.6972794410989</v>
      </c>
      <c r="I136" s="2"/>
      <c r="J136" s="2" cm="1">
        <f t="array" aca="1" ref="J136" ca="1">thm_rate($C136,qi,Di,bi,bf,telf,bterm,tterm)</f>
        <v>173.74880999479925</v>
      </c>
      <c r="K136" s="2" cm="1">
        <f t="array" aca="1" ref="K136" ca="1">thm_D($C136,qi,Di,bi,bf,telf,bterm,tterm)</f>
        <v>1.1198601448697849E-3</v>
      </c>
      <c r="L136" s="3" cm="1">
        <f t="array" aca="1" ref="L136" ca="1">thm_D_eff(C136,qi,Di,bi,bf,telf,bterm,tterm)</f>
        <v>0.27136595078630421</v>
      </c>
      <c r="M136" s="2" cm="1">
        <f t="array" aca="1" ref="M136" ca="1">thm_b(C136,qi,Di,bi,bf,telf,bterm,tterm)</f>
        <v>1.5548658761825556</v>
      </c>
      <c r="N136" s="2" cm="1">
        <f t="array" aca="1" ref="N136" ca="1">thm_monthly_vol(C136,qi,Di,bi,bf,telf,bterm,tterm)</f>
        <v>5.3813219297175721</v>
      </c>
      <c r="O136" s="2" cm="1">
        <f t="array" aca="1" ref="O136" ca="1">thm_cum($C136,qi,Di,bi,bf,telf,bterm,tterm)</f>
        <v>101.3642479776715</v>
      </c>
      <c r="Q136" cm="1">
        <f t="array" aca="1" ref="Q136" ca="1">thm_rate(C136,$F$3,$F$4,$F$5,$F$6,$F$7,$F$8,$F$9)</f>
        <v>168.0921512999075</v>
      </c>
      <c r="R136" s="2" cm="1">
        <f t="array" aca="1" ref="R136" ca="1">thm_cum($C136,$F$3,$F$4,$F$5,$F$6,$F$7,$F$8,$F$9)*$P$3/thm_cum($P$2,$F$3,$F$4,$F$5,$F$6,$F$7,$F$8,$F$9)</f>
        <v>81.114311349210894</v>
      </c>
    </row>
    <row r="137" spans="2:27" x14ac:dyDescent="0.25">
      <c r="B137" s="6" cm="1">
        <f t="array" ref="B137">B136+log_interval</f>
        <v>6.0442858691093679</v>
      </c>
      <c r="C137" s="8">
        <f t="shared" si="9"/>
        <v>421.69650342858142</v>
      </c>
      <c r="D137" s="6">
        <f ca="1"/>
        <v>169.30841564999994</v>
      </c>
      <c r="E137" s="7">
        <f ca="1"/>
        <v>1.0756772308397765E-3</v>
      </c>
      <c r="F137" s="7">
        <f ca="1"/>
        <v>1.5548658761825556</v>
      </c>
      <c r="G137" s="8">
        <f ca="1"/>
        <v>105.40991620301047</v>
      </c>
      <c r="H137" s="20">
        <f t="shared" ca="1" si="10"/>
        <v>93.277293504974168</v>
      </c>
      <c r="I137" s="2"/>
      <c r="J137" s="2" cm="1">
        <f t="array" aca="1" ref="J137" ca="1">thm_rate($C137,qi,Di,bi,bf,telf,bterm,tterm)</f>
        <v>169.30841564999994</v>
      </c>
      <c r="K137" s="2" cm="1">
        <f t="array" aca="1" ref="K137" ca="1">thm_D($C137,qi,Di,bi,bf,telf,bterm,tterm)</f>
        <v>1.0756772308397765E-3</v>
      </c>
      <c r="L137" s="3" cm="1">
        <f t="array" aca="1" ref="L137" ca="1">thm_D_eff(C137,qi,Di,bi,bf,telf,bterm,tterm)</f>
        <v>0.26408669320456246</v>
      </c>
      <c r="M137" s="2" cm="1">
        <f t="array" aca="1" ref="M137" ca="1">thm_b(C137,qi,Di,bi,bf,telf,bterm,tterm)</f>
        <v>1.5548658761825556</v>
      </c>
      <c r="N137" s="2" cm="1">
        <f t="array" aca="1" ref="N137" ca="1">thm_monthly_vol(C137,qi,Di,bi,bf,telf,bterm,tterm)</f>
        <v>5.2401216642277006</v>
      </c>
      <c r="O137" s="2" cm="1">
        <f t="array" aca="1" ref="O137" ca="1">thm_cum($C137,qi,Di,bi,bf,telf,bterm,tterm)</f>
        <v>105.40991620301047</v>
      </c>
      <c r="Q137" cm="1">
        <f t="array" aca="1" ref="Q137" ca="1">thm_rate(C137,$F$3,$F$4,$F$5,$F$6,$F$7,$F$8,$F$9)</f>
        <v>164.70271016364967</v>
      </c>
      <c r="R137" s="2" cm="1">
        <f t="array" aca="1" ref="R137" ca="1">thm_cum($C137,$F$3,$F$4,$F$5,$F$6,$F$7,$F$8,$F$9)*$P$3/thm_cum($P$2,$F$3,$F$4,$F$5,$F$6,$F$7,$F$8,$F$9)</f>
        <v>85.015277108324469</v>
      </c>
    </row>
    <row r="138" spans="2:27" x14ac:dyDescent="0.25">
      <c r="B138" s="6" cm="1">
        <f t="array" ref="B138">B137+log_interval</f>
        <v>6.1018504964342188</v>
      </c>
      <c r="C138" s="8">
        <f t="shared" si="9"/>
        <v>446.68359215096211</v>
      </c>
      <c r="D138" s="6">
        <f ca="1"/>
        <v>164.90844166716627</v>
      </c>
      <c r="E138" s="7">
        <f ca="1"/>
        <v>1.0325261549218511E-3</v>
      </c>
      <c r="F138" s="7">
        <f ca="1"/>
        <v>1.5548658761825556</v>
      </c>
      <c r="G138" s="8">
        <f ca="1"/>
        <v>109.58485300756038</v>
      </c>
      <c r="H138" s="20">
        <f t="shared" ca="1" si="10"/>
        <v>96.971697406526644</v>
      </c>
      <c r="I138" s="2"/>
      <c r="J138" s="2" cm="1">
        <f t="array" aca="1" ref="J138" ca="1">thm_rate($C138,qi,Di,bi,bf,telf,bterm,tterm)</f>
        <v>164.90844166716627</v>
      </c>
      <c r="K138" s="2" cm="1">
        <f t="array" aca="1" ref="K138" ca="1">thm_D($C138,qi,Di,bi,bf,telf,bterm,tterm)</f>
        <v>1.0325261549218511E-3</v>
      </c>
      <c r="L138" s="3" cm="1">
        <f t="array" aca="1" ref="L138" ca="1">thm_D_eff(C138,qi,Di,bi,bf,telf,bterm,tterm)</f>
        <v>0.25679532533546812</v>
      </c>
      <c r="M138" s="2" cm="1">
        <f t="array" aca="1" ref="M138" ca="1">thm_b(C138,qi,Di,bi,bf,telf,bterm,tterm)</f>
        <v>1.5548658761825556</v>
      </c>
      <c r="N138" s="2" cm="1">
        <f t="array" aca="1" ref="N138" ca="1">thm_monthly_vol(C138,qi,Di,bi,bf,telf,bterm,tterm)</f>
        <v>5.1004560269636272</v>
      </c>
      <c r="O138" s="2" cm="1">
        <f t="array" aca="1" ref="O138" ca="1">thm_cum($C138,qi,Di,bi,bf,telf,bterm,tterm)</f>
        <v>109.58485300756038</v>
      </c>
      <c r="Q138" cm="1">
        <f t="array" aca="1" ref="Q138" ca="1">thm_rate(C138,$F$3,$F$4,$F$5,$F$6,$F$7,$F$8,$F$9)</f>
        <v>161.24363270710018</v>
      </c>
      <c r="R138" s="2" cm="1">
        <f t="array" aca="1" ref="R138" ca="1">thm_cum($C138,$F$3,$F$4,$F$5,$F$6,$F$7,$F$8,$F$9)*$P$3/thm_cum($P$2,$F$3,$F$4,$F$5,$F$6,$F$7,$F$8,$F$9)</f>
        <v>89.062334228834573</v>
      </c>
    </row>
    <row r="139" spans="2:27" x14ac:dyDescent="0.25">
      <c r="B139" s="6" cm="1">
        <f t="array" ref="B139">B138+log_interval</f>
        <v>6.1594151237590697</v>
      </c>
      <c r="C139" s="8">
        <f t="shared" si="9"/>
        <v>473.1512589614793</v>
      </c>
      <c r="D139" s="6">
        <f ca="1"/>
        <v>160.5533919596123</v>
      </c>
      <c r="E139" s="7">
        <f ca="1"/>
        <v>9.9044013247722384E-4</v>
      </c>
      <c r="F139" s="7">
        <f ca="1"/>
        <v>1.5548658761825556</v>
      </c>
      <c r="G139" s="8">
        <f ca="1"/>
        <v>113.89130390301492</v>
      </c>
      <c r="H139" s="20">
        <f t="shared" ca="1" si="10"/>
        <v>100.7824782003036</v>
      </c>
      <c r="I139" s="2"/>
      <c r="J139" s="2" cm="1">
        <f t="array" aca="1" ref="J139" ca="1">thm_rate($C139,qi,Di,bi,bf,telf,bterm,tterm)</f>
        <v>160.5533919596123</v>
      </c>
      <c r="K139" s="2" cm="1">
        <f t="array" aca="1" ref="K139" ca="1">thm_D($C139,qi,Di,bi,bf,telf,bterm,tterm)</f>
        <v>9.9044013247722384E-4</v>
      </c>
      <c r="L139" s="3" cm="1">
        <f t="array" aca="1" ref="L139" ca="1">thm_D_eff(C139,qi,Di,bi,bf,telf,bterm,tterm)</f>
        <v>0.24950340891322054</v>
      </c>
      <c r="M139" s="2" cm="1">
        <f t="array" aca="1" ref="M139" ca="1">thm_b(C139,qi,Di,bi,bf,telf,bterm,tterm)</f>
        <v>1.5548658761825556</v>
      </c>
      <c r="N139" s="2" cm="1">
        <f t="array" aca="1" ref="N139" ca="1">thm_monthly_vol(C139,qi,Di,bi,bf,telf,bterm,tterm)</f>
        <v>4.9624563132389881</v>
      </c>
      <c r="O139" s="2" cm="1">
        <f t="array" aca="1" ref="O139" ca="1">thm_cum($C139,qi,Di,bi,bf,telf,bterm,tterm)</f>
        <v>113.89130390301492</v>
      </c>
      <c r="Q139" cm="1">
        <f t="array" aca="1" ref="Q139" ca="1">thm_rate(C139,$F$3,$F$4,$F$5,$F$6,$F$7,$F$8,$F$9)</f>
        <v>157.71895461319869</v>
      </c>
      <c r="R139" s="2" cm="1">
        <f t="array" aca="1" ref="R139" ca="1">thm_cum($C139,$F$3,$F$4,$F$5,$F$6,$F$7,$F$8,$F$9)*$P$3/thm_cum($P$2,$F$3,$F$4,$F$5,$F$6,$F$7,$F$8,$F$9)</f>
        <v>93.257320152166429</v>
      </c>
    </row>
    <row r="140" spans="2:27" x14ac:dyDescent="0.25">
      <c r="B140" s="6" cm="1">
        <f t="array" ref="B140">B139+log_interval</f>
        <v>6.2169797510839206</v>
      </c>
      <c r="C140" s="8">
        <f t="shared" si="9"/>
        <v>501.18723362727093</v>
      </c>
      <c r="D140" s="6">
        <f ca="1"/>
        <v>156.24750581425667</v>
      </c>
      <c r="E140" s="7">
        <f ca="1"/>
        <v>9.4944732199369513E-4</v>
      </c>
      <c r="F140" s="7">
        <f ca="1"/>
        <v>1.5548658761825556</v>
      </c>
      <c r="G140" s="8">
        <f ca="1"/>
        <v>118.33151619289137</v>
      </c>
      <c r="H140" s="20">
        <f t="shared" ca="1" si="10"/>
        <v>104.71162452643806</v>
      </c>
      <c r="I140" s="2"/>
      <c r="J140" s="2" cm="1">
        <f t="array" aca="1" ref="J140" ca="1">thm_rate($C140,qi,Di,bi,bf,telf,bterm,tterm)</f>
        <v>156.24750581425667</v>
      </c>
      <c r="K140" s="2" cm="1">
        <f t="array" aca="1" ref="K140" ca="1">thm_D($C140,qi,Di,bi,bf,telf,bterm,tterm)</f>
        <v>9.4944732199369513E-4</v>
      </c>
      <c r="L140" s="3" cm="1">
        <f t="array" aca="1" ref="L140" ca="1">thm_D_eff(C140,qi,Di,bi,bf,telf,bterm,tterm)</f>
        <v>0.24222251880493229</v>
      </c>
      <c r="M140" s="2" cm="1">
        <f t="array" aca="1" ref="M140" ca="1">thm_b(C140,qi,Di,bi,bf,telf,bterm,tterm)</f>
        <v>1.5548658761825556</v>
      </c>
      <c r="N140" s="2" cm="1">
        <f t="array" aca="1" ref="N140" ca="1">thm_monthly_vol(C140,qi,Di,bi,bf,telf,bterm,tterm)</f>
        <v>4.8262448149713038</v>
      </c>
      <c r="O140" s="2" cm="1">
        <f t="array" aca="1" ref="O140" ca="1">thm_cum($C140,qi,Di,bi,bf,telf,bterm,tterm)</f>
        <v>118.33151619289137</v>
      </c>
      <c r="Q140" cm="1">
        <f t="array" aca="1" ref="Q140" ca="1">thm_rate(C140,$F$3,$F$4,$F$5,$F$6,$F$7,$F$8,$F$9)</f>
        <v>154.13312430006582</v>
      </c>
      <c r="R140" s="2" cm="1">
        <f t="array" aca="1" ref="R140" ca="1">thm_cum($C140,$F$3,$F$4,$F$5,$F$6,$F$7,$F$8,$F$9)*$P$3/thm_cum($P$2,$F$3,$F$4,$F$5,$F$6,$F$7,$F$8,$F$9)</f>
        <v>97.601790001050745</v>
      </c>
    </row>
    <row r="141" spans="2:27" x14ac:dyDescent="0.25">
      <c r="B141" s="6" cm="1">
        <f t="array" ref="B141">B140+log_interval</f>
        <v>6.2745443784087715</v>
      </c>
      <c r="C141" s="8">
        <f t="shared" si="9"/>
        <v>530.88444423098679</v>
      </c>
      <c r="D141" s="6">
        <f ca="1"/>
        <v>151.99474770864876</v>
      </c>
      <c r="E141" s="7">
        <f ca="1"/>
        <v>9.095709141312831E-4</v>
      </c>
      <c r="F141" s="7">
        <f ca="1"/>
        <v>1.5548658761825556</v>
      </c>
      <c r="G141" s="8">
        <f ca="1"/>
        <v>122.90774177583663</v>
      </c>
      <c r="H141" s="20">
        <f t="shared" ca="1" si="10"/>
        <v>108.76112909129573</v>
      </c>
      <c r="I141" s="2"/>
      <c r="J141" s="2" cm="1">
        <f t="array" aca="1" ref="J141" ca="1">thm_rate($C141,qi,Di,bi,bf,telf,bterm,tterm)</f>
        <v>151.99474770864876</v>
      </c>
      <c r="K141" s="2" cm="1">
        <f t="array" aca="1" ref="K141" ca="1">thm_D($C141,qi,Di,bi,bf,telf,bterm,tterm)</f>
        <v>9.095709141312831E-4</v>
      </c>
      <c r="L141" s="3" cm="1">
        <f t="array" aca="1" ref="L141" ca="1">thm_D_eff(C141,qi,Di,bi,bf,telf,bterm,tterm)</f>
        <v>0.23496417083326937</v>
      </c>
      <c r="M141" s="2" cm="1">
        <f t="array" aca="1" ref="M141" ca="1">thm_b(C141,qi,Di,bi,bf,telf,bterm,tterm)</f>
        <v>1.5548658761825556</v>
      </c>
      <c r="N141" s="2" cm="1">
        <f t="array" aca="1" ref="N141" ca="1">thm_monthly_vol(C141,qi,Di,bi,bf,telf,bterm,tterm)</f>
        <v>4.6919346287153445</v>
      </c>
      <c r="O141" s="2" cm="1">
        <f t="array" aca="1" ref="O141" ca="1">thm_cum($C141,qi,Di,bi,bf,telf,bterm,tterm)</f>
        <v>122.90774177583663</v>
      </c>
      <c r="Q141" cm="1">
        <f t="array" aca="1" ref="Q141" ca="1">thm_rate(C141,$F$3,$F$4,$F$5,$F$6,$F$7,$F$8,$F$9)</f>
        <v>150.49099093736862</v>
      </c>
      <c r="R141" s="2" cm="1">
        <f t="array" aca="1" ref="R141" ca="1">thm_cum($C141,$F$3,$F$4,$F$5,$F$6,$F$7,$F$8,$F$9)*$P$3/thm_cum($P$2,$F$3,$F$4,$F$5,$F$6,$F$7,$F$8,$F$9)</f>
        <v>102.09699645712693</v>
      </c>
    </row>
    <row r="142" spans="2:27" x14ac:dyDescent="0.25">
      <c r="B142" s="6" cm="1">
        <f t="array" ref="B142">B141+log_interval</f>
        <v>6.3321090057336225</v>
      </c>
      <c r="C142" s="8">
        <f t="shared" si="9"/>
        <v>562.34132519034733</v>
      </c>
      <c r="D142" s="6">
        <f ca="1"/>
        <v>147.79879979162294</v>
      </c>
      <c r="E142" s="7">
        <f ca="1"/>
        <v>8.7082925924120451E-4</v>
      </c>
      <c r="F142" s="7">
        <f ca="1"/>
        <v>1.5548658761825556</v>
      </c>
      <c r="G142" s="8">
        <f ca="1"/>
        <v>127.62224009780155</v>
      </c>
      <c r="H142" s="20">
        <f t="shared" ca="1" si="10"/>
        <v>112.93299127985586</v>
      </c>
      <c r="I142" s="2"/>
      <c r="J142" s="2" cm="1">
        <f t="array" aca="1" ref="J142" ca="1">thm_rate($C142,qi,Di,bi,bf,telf,bterm,tterm)</f>
        <v>147.79879979162294</v>
      </c>
      <c r="K142" s="2" cm="1">
        <f t="array" aca="1" ref="K142" ca="1">thm_D($C142,qi,Di,bi,bf,telf,bterm,tterm)</f>
        <v>8.7082925924120451E-4</v>
      </c>
      <c r="L142" s="3" cm="1">
        <f t="array" aca="1" ref="L142" ca="1">thm_D_eff(C142,qi,Di,bi,bf,telf,bterm,tterm)</f>
        <v>0.22773975020099735</v>
      </c>
      <c r="M142" s="2" cm="1">
        <f t="array" aca="1" ref="M142" ca="1">thm_b(C142,qi,Di,bi,bf,telf,bterm,tterm)</f>
        <v>1.5548658761825556</v>
      </c>
      <c r="N142" s="2" cm="1">
        <f t="array" aca="1" ref="N142" ca="1">thm_monthly_vol(C142,qi,Di,bi,bf,telf,bterm,tterm)</f>
        <v>4.5596295439463148</v>
      </c>
      <c r="O142" s="2" cm="1">
        <f t="array" aca="1" ref="O142" ca="1">thm_cum($C142,qi,Di,bi,bf,telf,bterm,tterm)</f>
        <v>127.62224009780155</v>
      </c>
      <c r="Q142" cm="1">
        <f t="array" aca="1" ref="Q142" ca="1">thm_rate(C142,$F$3,$F$4,$F$5,$F$6,$F$7,$F$8,$F$9)</f>
        <v>146.7977876612411</v>
      </c>
      <c r="R142" s="2" cm="1">
        <f t="array" aca="1" ref="R142" ca="1">thm_cum($C142,$F$3,$F$4,$F$5,$F$6,$F$7,$F$8,$F$9)*$P$3/thm_cum($P$2,$F$3,$F$4,$F$5,$F$6,$F$7,$F$8,$F$9)</f>
        <v>106.74387080646757</v>
      </c>
    </row>
    <row r="143" spans="2:27" x14ac:dyDescent="0.25">
      <c r="B143" s="6" cm="1">
        <f t="array" ref="B143">B142+log_interval</f>
        <v>6.3896736330584734</v>
      </c>
      <c r="C143" s="8">
        <f t="shared" si="9"/>
        <v>595.6621435290084</v>
      </c>
      <c r="D143" s="6">
        <f ca="1"/>
        <v>143.66305693439287</v>
      </c>
      <c r="E143" s="7">
        <f ca="1"/>
        <v>8.3323602901290384E-4</v>
      </c>
      <c r="F143" s="7">
        <f ca="1"/>
        <v>1.5548658761825556</v>
      </c>
      <c r="G143" s="8">
        <f ca="1"/>
        <v>132.47728122932395</v>
      </c>
      <c r="H143" s="20">
        <f t="shared" ca="1" si="10"/>
        <v>117.22921987880055</v>
      </c>
      <c r="I143" s="2"/>
      <c r="J143" s="2" cm="1">
        <f t="array" aca="1" ref="J143" ca="1">thm_rate($C143,qi,Di,bi,bf,telf,bterm,tterm)</f>
        <v>143.66305693439287</v>
      </c>
      <c r="K143" s="2" cm="1">
        <f t="array" aca="1" ref="K143" ca="1">thm_D($C143,qi,Di,bi,bf,telf,bterm,tterm)</f>
        <v>8.3323602901290384E-4</v>
      </c>
      <c r="L143" s="3" cm="1">
        <f t="array" aca="1" ref="L143" ca="1">thm_D_eff(C143,qi,Di,bi,bf,telf,bterm,tterm)</f>
        <v>0.22056044144978482</v>
      </c>
      <c r="M143" s="2" cm="1">
        <f t="array" aca="1" ref="M143" ca="1">thm_b(C143,qi,Di,bi,bf,telf,bterm,tterm)</f>
        <v>1.5548658761825556</v>
      </c>
      <c r="N143" s="2" cm="1">
        <f t="array" aca="1" ref="N143" ca="1">thm_monthly_vol(C143,qi,Di,bi,bf,telf,bterm,tterm)</f>
        <v>4.4294240071463093</v>
      </c>
      <c r="O143" s="2" cm="1">
        <f t="array" aca="1" ref="O143" ca="1">thm_cum($C143,qi,Di,bi,bf,telf,bterm,tterm)</f>
        <v>132.47728122932395</v>
      </c>
      <c r="Q143" cm="1">
        <f t="array" aca="1" ref="Q143" ca="1">thm_rate(C143,$F$3,$F$4,$F$5,$F$6,$F$7,$F$8,$F$9)</f>
        <v>143.05910994219064</v>
      </c>
      <c r="R143" s="2" cm="1">
        <f t="array" aca="1" ref="R143" ca="1">thm_cum($C143,$F$3,$F$4,$F$5,$F$6,$F$7,$F$8,$F$9)*$P$3/thm_cum($P$2,$F$3,$F$4,$F$5,$F$6,$F$7,$F$8,$F$9)</f>
        <v>111.54300542497177</v>
      </c>
    </row>
    <row r="144" spans="2:27" x14ac:dyDescent="0.25">
      <c r="B144" s="6" cm="1">
        <f t="array" ref="B144">B143+log_interval</f>
        <v>6.4472382603833243</v>
      </c>
      <c r="C144" s="8">
        <f t="shared" si="9"/>
        <v>630.95734448019095</v>
      </c>
      <c r="D144" s="6">
        <f ca="1"/>
        <v>139.59062422862445</v>
      </c>
      <c r="E144" s="7">
        <f ca="1"/>
        <v>7.9680040771721412E-4</v>
      </c>
      <c r="F144" s="7">
        <f ca="1"/>
        <v>1.5548658761825556</v>
      </c>
      <c r="G144" s="8">
        <f ca="1"/>
        <v>137.47514904478359</v>
      </c>
      <c r="H144" s="20">
        <f t="shared" ca="1" si="10"/>
        <v>121.65183588983935</v>
      </c>
      <c r="I144" s="2"/>
      <c r="J144" s="2" cm="1">
        <f t="array" aca="1" ref="J144" ca="1">thm_rate($C144,qi,Di,bi,bf,telf,bterm,tterm)</f>
        <v>139.59062422862445</v>
      </c>
      <c r="K144" s="2" cm="1">
        <f t="array" aca="1" ref="K144" ca="1">thm_D($C144,qi,Di,bi,bf,telf,bterm,tterm)</f>
        <v>7.9680040771721412E-4</v>
      </c>
      <c r="L144" s="3" cm="1">
        <f t="array" aca="1" ref="L144" ca="1">thm_D_eff(C144,qi,Di,bi,bf,telf,bterm,tterm)</f>
        <v>0.21343716085618547</v>
      </c>
      <c r="M144" s="2" cm="1">
        <f t="array" aca="1" ref="M144" ca="1">thm_b(C144,qi,Di,bi,bf,telf,bterm,tterm)</f>
        <v>1.5548658761825556</v>
      </c>
      <c r="N144" s="2" cm="1">
        <f t="array" aca="1" ref="N144" ca="1">thm_monthly_vol(C144,qi,Di,bi,bf,telf,bterm,tterm)</f>
        <v>4.301403156537134</v>
      </c>
      <c r="O144" s="2" cm="1">
        <f t="array" aca="1" ref="O144" ca="1">thm_cum($C144,qi,Di,bi,bf,telf,bterm,tterm)</f>
        <v>137.47514904478359</v>
      </c>
      <c r="Q144" cm="1">
        <f t="array" aca="1" ref="Q144" ca="1">thm_rate(C144,$F$3,$F$4,$F$5,$F$6,$F$7,$F$8,$F$9)</f>
        <v>139.28088915156977</v>
      </c>
      <c r="R144" s="2" cm="1">
        <f t="array" aca="1" ref="R144" ca="1">thm_cum($C144,$F$3,$F$4,$F$5,$F$6,$F$7,$F$8,$F$9)*$P$3/thm_cum($P$2,$F$3,$F$4,$F$5,$F$6,$F$7,$F$8,$F$9)</f>
        <v>116.49463797147165</v>
      </c>
    </row>
    <row r="145" spans="2:18" x14ac:dyDescent="0.25">
      <c r="B145" s="6" cm="1">
        <f t="array" ref="B145">B144+log_interval</f>
        <v>6.5048028877081752</v>
      </c>
      <c r="C145" s="8">
        <f t="shared" si="9"/>
        <v>668.34391756861203</v>
      </c>
      <c r="D145" s="6">
        <f ca="1"/>
        <v>135.58431678279592</v>
      </c>
      <c r="E145" s="7">
        <f ca="1"/>
        <v>7.6152730843780721E-4</v>
      </c>
      <c r="F145" s="7">
        <f ca="1"/>
        <v>1.5548658761825556</v>
      </c>
      <c r="G145" s="8">
        <f ca="1"/>
        <v>142.61814448140794</v>
      </c>
      <c r="H145" s="20">
        <f t="shared" ca="1" si="10"/>
        <v>126.20287541360526</v>
      </c>
      <c r="I145" s="2"/>
      <c r="J145" s="2" cm="1">
        <f t="array" aca="1" ref="J145" ca="1">thm_rate($C145,qi,Di,bi,bf,telf,bterm,tterm)</f>
        <v>135.58431678279592</v>
      </c>
      <c r="K145" s="2" cm="1">
        <f t="array" aca="1" ref="K145" ca="1">thm_D($C145,qi,Di,bi,bf,telf,bterm,tterm)</f>
        <v>7.6152730843780721E-4</v>
      </c>
      <c r="L145" s="3" cm="1">
        <f t="array" aca="1" ref="L145" ca="1">thm_D_eff(C145,qi,Di,bi,bf,telf,bterm,tterm)</f>
        <v>0.20638049211843701</v>
      </c>
      <c r="M145" s="2" cm="1">
        <f t="array" aca="1" ref="M145" ca="1">thm_b(C145,qi,Di,bi,bf,telf,bterm,tterm)</f>
        <v>1.5548658761825556</v>
      </c>
      <c r="N145" s="2" cm="1">
        <f t="array" aca="1" ref="N145" ca="1">thm_monthly_vol(C145,qi,Di,bi,bf,telf,bterm,tterm)</f>
        <v>4.1756429217508924</v>
      </c>
      <c r="O145" s="2" cm="1">
        <f t="array" aca="1" ref="O145" ca="1">thm_cum($C145,qi,Di,bi,bf,telf,bterm,tterm)</f>
        <v>142.61814448140794</v>
      </c>
      <c r="Q145" cm="1">
        <f t="array" aca="1" ref="Q145" ca="1">thm_rate(C145,$F$3,$F$4,$F$5,$F$6,$F$7,$F$8,$F$9)</f>
        <v>135.46936146889217</v>
      </c>
      <c r="R145" s="2" cm="1">
        <f t="array" aca="1" ref="R145" ca="1">thm_cum($C145,$F$3,$F$4,$F$5,$F$6,$F$7,$F$8,$F$9)*$P$3/thm_cum($P$2,$F$3,$F$4,$F$5,$F$6,$F$7,$F$8,$F$9)</f>
        <v>121.59863754671152</v>
      </c>
    </row>
    <row r="146" spans="2:18" x14ac:dyDescent="0.25">
      <c r="B146" s="6" cm="1">
        <f t="array" ref="B146">B145+log_interval</f>
        <v>6.5623675150330261</v>
      </c>
      <c r="C146" s="8">
        <f t="shared" si="9"/>
        <v>707.94578438413498</v>
      </c>
      <c r="D146" s="6">
        <f ca="1"/>
        <v>131.64666164804007</v>
      </c>
      <c r="E146" s="7">
        <f ca="1"/>
        <v>7.2741760970784319E-4</v>
      </c>
      <c r="F146" s="7">
        <f ca="1"/>
        <v>1.5548658761825556</v>
      </c>
      <c r="G146" s="8">
        <f ca="1"/>
        <v>147.90858885698097</v>
      </c>
      <c r="H146" s="20">
        <f t="shared" ca="1" si="10"/>
        <v>130.88439258549701</v>
      </c>
      <c r="I146" s="2"/>
      <c r="J146" s="2" cm="1">
        <f t="array" aca="1" ref="J146" ca="1">thm_rate($C146,qi,Di,bi,bf,telf,bterm,tterm)</f>
        <v>131.64666164804007</v>
      </c>
      <c r="K146" s="2" cm="1">
        <f t="array" aca="1" ref="K146" ca="1">thm_D($C146,qi,Di,bi,bf,telf,bterm,tterm)</f>
        <v>7.2741760970784319E-4</v>
      </c>
      <c r="L146" s="3" cm="1">
        <f t="array" aca="1" ref="L146" ca="1">thm_D_eff(C146,qi,Di,bi,bf,telf,bterm,tterm)</f>
        <v>0.19940062612005882</v>
      </c>
      <c r="M146" s="2" cm="1">
        <f t="array" aca="1" ref="M146" ca="1">thm_b(C146,qi,Di,bi,bf,telf,bterm,tterm)</f>
        <v>1.5548658761825556</v>
      </c>
      <c r="N146" s="2" cm="1">
        <f t="array" aca="1" ref="N146" ca="1">thm_monthly_vol(C146,qi,Di,bi,bf,telf,bterm,tterm)</f>
        <v>4.0522101823413266</v>
      </c>
      <c r="O146" s="2" cm="1">
        <f t="array" aca="1" ref="O146" ca="1">thm_cum($C146,qi,Di,bi,bf,telf,bterm,tterm)</f>
        <v>147.90858885698097</v>
      </c>
      <c r="Q146" cm="1">
        <f t="array" aca="1" ref="Q146" ca="1">thm_rate(C146,$F$3,$F$4,$F$5,$F$6,$F$7,$F$8,$F$9)</f>
        <v>131.63103237192811</v>
      </c>
      <c r="R146" s="2" cm="1">
        <f t="array" aca="1" ref="R146" ca="1">thm_cum($C146,$F$3,$F$4,$F$5,$F$6,$F$7,$F$8,$F$9)*$P$3/thm_cum($P$2,$F$3,$F$4,$F$5,$F$6,$F$7,$F$8,$F$9)</f>
        <v>126.85449306092147</v>
      </c>
    </row>
    <row r="147" spans="2:18" x14ac:dyDescent="0.25">
      <c r="B147" s="6" cm="1">
        <f t="array" ref="B147">B146+log_interval</f>
        <v>6.619932142357877</v>
      </c>
      <c r="C147" s="8">
        <f t="shared" si="9"/>
        <v>749.89420933245253</v>
      </c>
      <c r="D147" s="6">
        <f ca="1"/>
        <v>127.77263705121786</v>
      </c>
      <c r="E147" s="7">
        <f ca="1"/>
        <v>7.009441258850667E-4</v>
      </c>
      <c r="F147" s="7">
        <f ca="1"/>
        <v>0.79</v>
      </c>
      <c r="G147" s="8">
        <f ca="1"/>
        <v>153.34878477885988</v>
      </c>
      <c r="H147" s="20">
        <f t="shared" ca="1" si="10"/>
        <v>135.69842498404634</v>
      </c>
      <c r="I147" s="2"/>
      <c r="J147" s="2" cm="1">
        <f t="array" aca="1" ref="J147" ca="1">thm_rate($C147,qi,Di,bi,bf,telf,bterm,tterm)</f>
        <v>127.77263705121786</v>
      </c>
      <c r="K147" s="2" cm="1">
        <f t="array" aca="1" ref="K147" ca="1">thm_D($C147,qi,Di,bi,bf,telf,bterm,tterm)</f>
        <v>7.009441258850667E-4</v>
      </c>
      <c r="L147" s="3" cm="1">
        <f t="array" aca="1" ref="L147" ca="1">thm_D_eff(C147,qi,Di,bi,bf,telf,bterm,tterm)</f>
        <v>0.20797629052795141</v>
      </c>
      <c r="M147" s="2" cm="1">
        <f t="array" aca="1" ref="M147" ca="1">thm_b(C147,qi,Di,bi,bf,telf,bterm,tterm)</f>
        <v>0.79</v>
      </c>
      <c r="N147" s="2" cm="1">
        <f t="array" aca="1" ref="N147" ca="1">thm_monthly_vol(C147,qi,Di,bi,bf,telf,bterm,tterm)</f>
        <v>3.9311205310739297</v>
      </c>
      <c r="O147" s="2" cm="1">
        <f t="array" aca="1" ref="O147" ca="1">thm_cum($C147,qi,Di,bi,bf,telf,bterm,tterm)</f>
        <v>153.34878477885988</v>
      </c>
      <c r="Q147" cm="1">
        <f t="array" aca="1" ref="Q147" ca="1">thm_rate(C147,$F$3,$F$4,$F$5,$F$6,$F$7,$F$8,$F$9)</f>
        <v>127.77263705121788</v>
      </c>
      <c r="R147" s="2" cm="1">
        <f t="array" aca="1" ref="R147" ca="1">thm_cum($C147,$F$3,$F$4,$F$5,$F$6,$F$7,$F$8,$F$9)*$P$3/thm_cum($P$2,$F$3,$F$4,$F$5,$F$6,$F$7,$F$8,$F$9)</f>
        <v>132.26130403151086</v>
      </c>
    </row>
    <row r="148" spans="2:18" x14ac:dyDescent="0.25">
      <c r="B148" s="6" cm="1">
        <f t="array" ref="B148">B147+log_interval</f>
        <v>6.6774967696827279</v>
      </c>
      <c r="C148" s="8">
        <f t="shared" si="9"/>
        <v>794.32823472427788</v>
      </c>
      <c r="D148" s="6">
        <f ca="1"/>
        <v>123.90109718725238</v>
      </c>
      <c r="E148" s="7">
        <f ca="1"/>
        <v>6.8411145571532924E-4</v>
      </c>
      <c r="F148" s="7">
        <f ca="1"/>
        <v>0.79</v>
      </c>
      <c r="G148" s="8">
        <f ca="1"/>
        <v>158.93943379491427</v>
      </c>
      <c r="H148" s="20">
        <f t="shared" ca="1" si="10"/>
        <v>140.64559340935344</v>
      </c>
      <c r="I148" s="2"/>
      <c r="J148" s="2" cm="1">
        <f t="array" aca="1" ref="J148" ca="1">thm_rate($C148,qi,Di,bi,bf,telf,bterm,tterm)</f>
        <v>123.90109718725238</v>
      </c>
      <c r="K148" s="2" cm="1">
        <f t="array" aca="1" ref="K148" ca="1">thm_D($C148,qi,Di,bi,bf,telf,bterm,tterm)</f>
        <v>6.8411145571532924E-4</v>
      </c>
      <c r="L148" s="3" cm="1">
        <f t="array" aca="1" ref="L148" ca="1">thm_D_eff(C148,qi,Di,bi,bf,telf,bterm,tterm)</f>
        <v>0.20390739533993907</v>
      </c>
      <c r="M148" s="2" cm="1">
        <f t="array" aca="1" ref="M148" ca="1">thm_b(C148,qi,Di,bi,bf,telf,bterm,tterm)</f>
        <v>0.79</v>
      </c>
      <c r="N148" s="2" cm="1">
        <f t="array" aca="1" ref="N148" ca="1">thm_monthly_vol(C148,qi,Di,bi,bf,telf,bterm,tterm)</f>
        <v>3.8109976957016158</v>
      </c>
      <c r="O148" s="2" cm="1">
        <f t="array" aca="1" ref="O148" ca="1">thm_cum($C148,qi,Di,bi,bf,telf,bterm,tterm)</f>
        <v>158.93943379491427</v>
      </c>
      <c r="Q148" cm="1">
        <f t="array" aca="1" ref="Q148" ca="1">thm_rate(C148,$F$3,$F$4,$F$5,$F$6,$F$7,$F$8,$F$9)</f>
        <v>123.9010971872524</v>
      </c>
      <c r="R148" s="2" cm="1">
        <f t="array" aca="1" ref="R148" ca="1">thm_cum($C148,$F$3,$F$4,$F$5,$F$6,$F$7,$F$8,$F$9)*$P$3/thm_cum($P$2,$F$3,$F$4,$F$5,$F$6,$F$7,$F$8,$F$9)</f>
        <v>137.81777400563388</v>
      </c>
    </row>
    <row r="149" spans="2:18" x14ac:dyDescent="0.25">
      <c r="B149" s="6" cm="1">
        <f t="array" ref="B149">B148+log_interval</f>
        <v>6.7350613970075788</v>
      </c>
      <c r="C149" s="8">
        <f t="shared" si="9"/>
        <v>841.39514164519096</v>
      </c>
      <c r="D149" s="6">
        <f ca="1"/>
        <v>120.02347461884987</v>
      </c>
      <c r="E149" s="7">
        <f ca="1"/>
        <v>6.6714123854975135E-4</v>
      </c>
      <c r="F149" s="7">
        <f ca="1"/>
        <v>0.79</v>
      </c>
      <c r="G149" s="8">
        <f ca="1"/>
        <v>164.6789557525544</v>
      </c>
      <c r="H149" s="20">
        <f t="shared" ca="1" si="10"/>
        <v>145.72449958351234</v>
      </c>
      <c r="I149" s="2"/>
      <c r="J149" s="2" cm="1">
        <f t="array" aca="1" ref="J149" ca="1">thm_rate($C149,qi,Di,bi,bf,telf,bterm,tterm)</f>
        <v>120.02347461884987</v>
      </c>
      <c r="K149" s="2" cm="1">
        <f t="array" aca="1" ref="K149" ca="1">thm_D($C149,qi,Di,bi,bf,telf,bterm,tterm)</f>
        <v>6.6714123854975135E-4</v>
      </c>
      <c r="L149" s="3" cm="1">
        <f t="array" aca="1" ref="L149" ca="1">thm_D_eff(C149,qi,Di,bi,bf,telf,bterm,tterm)</f>
        <v>0.19976721896571992</v>
      </c>
      <c r="M149" s="2" cm="1">
        <f t="array" aca="1" ref="M149" ca="1">thm_b(C149,qi,Di,bi,bf,telf,bterm,tterm)</f>
        <v>0.79</v>
      </c>
      <c r="N149" s="2" cm="1">
        <f t="array" aca="1" ref="N149" ca="1">thm_monthly_vol(C149,qi,Di,bi,bf,telf,bterm,tterm)</f>
        <v>3.6907611641811116</v>
      </c>
      <c r="O149" s="2" cm="1">
        <f t="array" aca="1" ref="O149" ca="1">thm_cum($C149,qi,Di,bi,bf,telf,bterm,tterm)</f>
        <v>164.6789557525544</v>
      </c>
      <c r="Q149" cm="1">
        <f t="array" aca="1" ref="Q149" ca="1">thm_rate(C149,$F$3,$F$4,$F$5,$F$6,$F$7,$F$8,$F$9)</f>
        <v>120.0234746188499</v>
      </c>
      <c r="R149" s="2" cm="1">
        <f t="array" aca="1" ref="R149" ca="1">thm_cum($C149,$F$3,$F$4,$F$5,$F$6,$F$7,$F$8,$F$9)*$P$3/thm_cum($P$2,$F$3,$F$4,$F$5,$F$6,$F$7,$F$8,$F$9)</f>
        <v>143.52220677039284</v>
      </c>
    </row>
    <row r="150" spans="2:18" x14ac:dyDescent="0.25">
      <c r="B150" s="6" cm="1">
        <f t="array" ref="B150">B149+log_interval</f>
        <v>6.7926260243324297</v>
      </c>
      <c r="C150" s="8">
        <f t="shared" si="9"/>
        <v>891.25093813374099</v>
      </c>
      <c r="D150" s="6">
        <f ca="1"/>
        <v>116.14692251201687</v>
      </c>
      <c r="E150" s="7">
        <f ca="1"/>
        <v>6.5006020608043109E-4</v>
      </c>
      <c r="F150" s="7">
        <f ca="1"/>
        <v>0.79</v>
      </c>
      <c r="G150" s="8">
        <f ca="1"/>
        <v>170.56524090462463</v>
      </c>
      <c r="H150" s="20">
        <f t="shared" ca="1" si="10"/>
        <v>150.93327659009103</v>
      </c>
      <c r="I150" s="2"/>
      <c r="J150" s="2" cm="1">
        <f t="array" aca="1" ref="J150" ca="1">thm_rate($C150,qi,Di,bi,bf,telf,bterm,tterm)</f>
        <v>116.14692251201687</v>
      </c>
      <c r="K150" s="2" cm="1">
        <f t="array" aca="1" ref="K150" ca="1">thm_D($C150,qi,Di,bi,bf,telf,bterm,tterm)</f>
        <v>6.5006020608043109E-4</v>
      </c>
      <c r="L150" s="3" cm="1">
        <f t="array" aca="1" ref="L150" ca="1">thm_D_eff(C150,qi,Di,bi,bf,telf,bterm,tterm)</f>
        <v>0.1955609258983001</v>
      </c>
      <c r="M150" s="2" cm="1">
        <f t="array" aca="1" ref="M150" ca="1">thm_b(C150,qi,Di,bi,bf,telf,bterm,tterm)</f>
        <v>0.79</v>
      </c>
      <c r="N150" s="2" cm="1">
        <f t="array" aca="1" ref="N150" ca="1">thm_monthly_vol(C150,qi,Di,bi,bf,telf,bterm,tterm)</f>
        <v>3.5706145110435159</v>
      </c>
      <c r="O150" s="2" cm="1">
        <f t="array" aca="1" ref="O150" ca="1">thm_cum($C150,qi,Di,bi,bf,telf,bterm,tterm)</f>
        <v>170.56524090462463</v>
      </c>
      <c r="Q150" cm="1">
        <f t="array" aca="1" ref="Q150" ca="1">thm_rate(C150,$F$3,$F$4,$F$5,$F$6,$F$7,$F$8,$F$9)</f>
        <v>116.14692251201689</v>
      </c>
      <c r="R150" s="2" cm="1">
        <f t="array" aca="1" ref="R150" ca="1">thm_cum($C150,$F$3,$F$4,$F$5,$F$6,$F$7,$F$8,$F$9)*$P$3/thm_cum($P$2,$F$3,$F$4,$F$5,$F$6,$F$7,$F$8,$F$9)</f>
        <v>149.372505476801</v>
      </c>
    </row>
    <row r="151" spans="2:18" x14ac:dyDescent="0.25">
      <c r="B151" s="6" cm="1">
        <f t="array" ref="B151">B150+log_interval</f>
        <v>6.8501906516572806</v>
      </c>
      <c r="C151" s="8">
        <f t="shared" si="9"/>
        <v>944.06087628591831</v>
      </c>
      <c r="D151" s="6">
        <f ca="1"/>
        <v>112.27863470682051</v>
      </c>
      <c r="E151" s="7">
        <f ca="1"/>
        <v>6.3289580906785413E-4</v>
      </c>
      <c r="F151" s="7">
        <f ca="1"/>
        <v>0.79</v>
      </c>
      <c r="G151" s="8">
        <f ca="1"/>
        <v>176.59577853982307</v>
      </c>
      <c r="H151" s="20">
        <f t="shared" ca="1" si="10"/>
        <v>156.26970269926133</v>
      </c>
      <c r="I151" s="2"/>
      <c r="J151" s="2" cm="1">
        <f t="array" aca="1" ref="J151" ca="1">thm_rate($C151,qi,Di,bi,bf,telf,bterm,tterm)</f>
        <v>112.27863470682051</v>
      </c>
      <c r="K151" s="2" cm="1">
        <f t="array" aca="1" ref="K151" ca="1">thm_D($C151,qi,Di,bi,bf,telf,bterm,tterm)</f>
        <v>6.3289580906785413E-4</v>
      </c>
      <c r="L151" s="3" cm="1">
        <f t="array" aca="1" ref="L151" ca="1">thm_D_eff(C151,qi,Di,bi,bf,telf,bterm,tterm)</f>
        <v>0.19129407021804123</v>
      </c>
      <c r="M151" s="2" cm="1">
        <f t="array" aca="1" ref="M151" ca="1">thm_b(C151,qi,Di,bi,bf,telf,bterm,tterm)</f>
        <v>0.79</v>
      </c>
      <c r="N151" s="2" cm="1">
        <f t="array" aca="1" ref="N151" ca="1">thm_monthly_vol(C151,qi,Di,bi,bf,telf,bterm,tterm)</f>
        <v>3.4507808306771039</v>
      </c>
      <c r="O151" s="2" cm="1">
        <f t="array" aca="1" ref="O151" ca="1">thm_cum($C151,qi,Di,bi,bf,telf,bterm,tterm)</f>
        <v>176.59577853982307</v>
      </c>
      <c r="Q151" cm="1">
        <f t="array" aca="1" ref="Q151" ca="1">thm_rate(C151,$F$3,$F$4,$F$5,$F$6,$F$7,$F$8,$F$9)</f>
        <v>112.27863470682057</v>
      </c>
      <c r="R151" s="2" cm="1">
        <f t="array" aca="1" ref="R151" ca="1">thm_cum($C151,$F$3,$F$4,$F$5,$F$6,$F$7,$F$8,$F$9)*$P$3/thm_cum($P$2,$F$3,$F$4,$F$5,$F$6,$F$7,$F$8,$F$9)</f>
        <v>155.36617476306364</v>
      </c>
    </row>
    <row r="152" spans="2:18" x14ac:dyDescent="0.25">
      <c r="B152" s="6" cm="1">
        <f t="array" ref="B152">B151+log_interval</f>
        <v>6.9077552789821315</v>
      </c>
      <c r="C152" s="8">
        <f t="shared" si="9"/>
        <v>999.99999999999443</v>
      </c>
      <c r="D152" s="6">
        <f ca="1"/>
        <v>108.42579397286897</v>
      </c>
      <c r="E152" s="7">
        <f ca="1"/>
        <v>6.1567604386494087E-4</v>
      </c>
      <c r="F152" s="7">
        <f ca="1"/>
        <v>0.79</v>
      </c>
      <c r="G152" s="8">
        <f ca="1"/>
        <v>182.7676621790265</v>
      </c>
      <c r="H152" s="20">
        <f t="shared" ca="1" si="10"/>
        <v>161.73120596602973</v>
      </c>
      <c r="I152" s="2"/>
      <c r="J152" s="2" cm="1">
        <f t="array" aca="1" ref="J152" ca="1">thm_rate($C152,qi,Di,bi,bf,telf,bterm,tterm)</f>
        <v>108.42579397286897</v>
      </c>
      <c r="K152" s="2" cm="1">
        <f t="array" aca="1" ref="K152" ca="1">thm_D($C152,qi,Di,bi,bf,telf,bterm,tterm)</f>
        <v>6.1567604386494087E-4</v>
      </c>
      <c r="L152" s="3" cm="1">
        <f t="array" aca="1" ref="L152" ca="1">thm_D_eff(C152,qi,Di,bi,bf,telf,bterm,tterm)</f>
        <v>0.186972571320281</v>
      </c>
      <c r="M152" s="2" cm="1">
        <f t="array" aca="1" ref="M152" ca="1">thm_b(C152,qi,Di,bi,bf,telf,bterm,tterm)</f>
        <v>0.79</v>
      </c>
      <c r="N152" s="2" cm="1">
        <f t="array" aca="1" ref="N152" ca="1">thm_monthly_vol(C152,qi,Di,bi,bf,telf,bterm,tterm)</f>
        <v>3.3314824635253899</v>
      </c>
      <c r="O152" s="2" cm="1">
        <f t="array" aca="1" ref="O152" ca="1">thm_cum($C152,qi,Di,bi,bf,telf,bterm,tterm)</f>
        <v>182.7676621790265</v>
      </c>
      <c r="Q152" cm="1">
        <f t="array" aca="1" ref="Q152" ca="1">thm_rate(C152,$F$3,$F$4,$F$5,$F$6,$F$7,$F$8,$F$9)</f>
        <v>108.42579397286899</v>
      </c>
      <c r="R152" s="2" cm="1">
        <f t="array" aca="1" ref="R152" ca="1">thm_cum($C152,$F$3,$F$4,$F$5,$F$6,$F$7,$F$8,$F$9)*$P$3/thm_cum($P$2,$F$3,$F$4,$F$5,$F$6,$F$7,$F$8,$F$9)</f>
        <v>161.50032591913435</v>
      </c>
    </row>
    <row r="153" spans="2:18" x14ac:dyDescent="0.25">
      <c r="B153" s="6" cm="1">
        <f t="array" ref="B153">B152+log_interval</f>
        <v>6.9653199063069824</v>
      </c>
      <c r="C153" s="8">
        <f t="shared" si="9"/>
        <v>1059.2537251772828</v>
      </c>
      <c r="D153" s="6">
        <f ca="1"/>
        <v>104.59551993972059</v>
      </c>
      <c r="E153" s="7">
        <f ca="1"/>
        <v>5.9842927139648931E-4</v>
      </c>
      <c r="F153" s="7">
        <f ca="1"/>
        <v>0.79</v>
      </c>
      <c r="G153" s="8">
        <f ca="1"/>
        <v>189.07759782792931</v>
      </c>
      <c r="H153" s="20">
        <f t="shared" ca="1" si="10"/>
        <v>167.31487153300225</v>
      </c>
      <c r="I153" s="2"/>
      <c r="J153" s="2" cm="1">
        <f t="array" aca="1" ref="J153" ca="1">thm_rate($C153,qi,Di,bi,bf,telf,bterm,tterm)</f>
        <v>104.59551993972059</v>
      </c>
      <c r="K153" s="2" cm="1">
        <f t="array" aca="1" ref="K153" ca="1">thm_D($C153,qi,Di,bi,bf,telf,bterm,tterm)</f>
        <v>5.9842927139648931E-4</v>
      </c>
      <c r="L153" s="3" cm="1">
        <f t="array" aca="1" ref="L153" ca="1">thm_D_eff(C153,qi,Di,bi,bf,telf,bterm,tterm)</f>
        <v>0.1826026851367013</v>
      </c>
      <c r="M153" s="2" cm="1">
        <f t="array" aca="1" ref="M153" ca="1">thm_b(C153,qi,Di,bi,bf,telf,bterm,tterm)</f>
        <v>0.79</v>
      </c>
      <c r="N153" s="2" cm="1">
        <f t="array" aca="1" ref="N153" ca="1">thm_monthly_vol(C153,qi,Di,bi,bf,telf,bterm,tterm)</f>
        <v>3.2129393832280471</v>
      </c>
      <c r="O153" s="2" cm="1">
        <f t="array" aca="1" ref="O153" ca="1">thm_cum($C153,qi,Di,bi,bf,telf,bterm,tterm)</f>
        <v>189.07759782792931</v>
      </c>
      <c r="Q153" cm="1">
        <f t="array" aca="1" ref="Q153" ca="1">thm_rate(C153,$F$3,$F$4,$F$5,$F$6,$F$7,$F$8,$F$9)</f>
        <v>104.59551993972063</v>
      </c>
      <c r="R153" s="2" cm="1">
        <f t="array" aca="1" ref="R153" ca="1">thm_cum($C153,$F$3,$F$4,$F$5,$F$6,$F$7,$F$8,$F$9)*$P$3/thm_cum($P$2,$F$3,$F$4,$F$5,$F$6,$F$7,$F$8,$F$9)</f>
        <v>167.7716850889006</v>
      </c>
    </row>
    <row r="154" spans="2:18" x14ac:dyDescent="0.25">
      <c r="B154" s="6" cm="1">
        <f t="array" ref="B154">B153+log_interval</f>
        <v>7.0228845336318333</v>
      </c>
      <c r="C154" s="8">
        <f t="shared" si="9"/>
        <v>1122.0184543019566</v>
      </c>
      <c r="D154" s="6">
        <f ca="1"/>
        <v>100.79481748536315</v>
      </c>
      <c r="E154" s="7">
        <f ca="1"/>
        <v>5.8118403105555895E-4</v>
      </c>
      <c r="F154" s="7">
        <f ca="1"/>
        <v>0.79</v>
      </c>
      <c r="G154" s="8">
        <f ca="1"/>
        <v>195.52191523554859</v>
      </c>
      <c r="H154" s="20">
        <f t="shared" ca="1" si="10"/>
        <v>173.0174515930417</v>
      </c>
      <c r="I154" s="2"/>
      <c r="J154" s="2" cm="1">
        <f t="array" aca="1" ref="J154" ca="1">thm_rate($C154,qi,Di,bi,bf,telf,bterm,tterm)</f>
        <v>100.79481748536315</v>
      </c>
      <c r="K154" s="2" cm="1">
        <f t="array" aca="1" ref="K154" ca="1">thm_D($C154,qi,Di,bi,bf,telf,bterm,tterm)</f>
        <v>5.8118403105555895E-4</v>
      </c>
      <c r="L154" s="3" cm="1">
        <f t="array" aca="1" ref="L154" ca="1">thm_D_eff(C154,qi,Di,bi,bf,telf,bterm,tterm)</f>
        <v>0.17819097107996573</v>
      </c>
      <c r="M154" s="2" cm="1">
        <f t="array" aca="1" ref="M154" ca="1">thm_b(C154,qi,Di,bi,bf,telf,bterm,tterm)</f>
        <v>0.79</v>
      </c>
      <c r="N154" s="2" cm="1">
        <f t="array" aca="1" ref="N154" ca="1">thm_monthly_vol(C154,qi,Di,bi,bf,telf,bterm,tterm)</f>
        <v>3.0953676041452525</v>
      </c>
      <c r="O154" s="2" cm="1">
        <f t="array" aca="1" ref="O154" ca="1">thm_cum($C154,qi,Di,bi,bf,telf,bterm,tterm)</f>
        <v>195.52191523554859</v>
      </c>
      <c r="Q154" cm="1">
        <f t="array" aca="1" ref="Q154" ca="1">thm_rate(C154,$F$3,$F$4,$F$5,$F$6,$F$7,$F$8,$F$9)</f>
        <v>100.79481748536317</v>
      </c>
      <c r="R154" s="2" cm="1">
        <f t="array" aca="1" ref="R154" ca="1">thm_cum($C154,$F$3,$F$4,$F$5,$F$6,$F$7,$F$8,$F$9)*$P$3/thm_cum($P$2,$F$3,$F$4,$F$5,$F$6,$F$7,$F$8,$F$9)</f>
        <v>174.17660445985885</v>
      </c>
    </row>
    <row r="155" spans="2:18" x14ac:dyDescent="0.25">
      <c r="B155" s="6" cm="1">
        <f t="array" ref="B155">B154+log_interval</f>
        <v>7.0804491609566842</v>
      </c>
      <c r="C155" s="8">
        <f t="shared" si="9"/>
        <v>1188.502227437011</v>
      </c>
      <c r="D155" s="6">
        <f ca="1"/>
        <v>97.030526362934836</v>
      </c>
      <c r="E155" s="7">
        <f ca="1"/>
        <v>5.6396885209946009E-4</v>
      </c>
      <c r="F155" s="7">
        <f ca="1"/>
        <v>0.79</v>
      </c>
      <c r="G155" s="8">
        <f ca="1"/>
        <v>202.09658206166011</v>
      </c>
      <c r="H155" s="20">
        <f t="shared" ca="1" si="10"/>
        <v>178.83537792603983</v>
      </c>
      <c r="I155" s="2"/>
      <c r="J155" s="2" cm="1">
        <f t="array" aca="1" ref="J155" ca="1">thm_rate($C155,qi,Di,bi,bf,telf,bterm,tterm)</f>
        <v>97.030526362934836</v>
      </c>
      <c r="K155" s="2" cm="1">
        <f t="array" aca="1" ref="K155" ca="1">thm_D($C155,qi,Di,bi,bf,telf,bterm,tterm)</f>
        <v>5.6396885209946009E-4</v>
      </c>
      <c r="L155" s="3" cm="1">
        <f t="array" aca="1" ref="L155" ca="1">thm_D_eff(C155,qi,Di,bi,bf,telf,bterm,tterm)</f>
        <v>0.17374425503136037</v>
      </c>
      <c r="M155" s="2" cm="1">
        <f t="array" aca="1" ref="M155" ca="1">thm_b(C155,qi,Di,bi,bf,telf,bterm,tterm)</f>
        <v>0.79</v>
      </c>
      <c r="N155" s="2" cm="1">
        <f t="array" aca="1" ref="N155" ca="1">thm_monthly_vol(C155,qi,Di,bi,bf,telf,bterm,tterm)</f>
        <v>2.9789776333319367</v>
      </c>
      <c r="O155" s="2" cm="1">
        <f t="array" aca="1" ref="O155" ca="1">thm_cum($C155,qi,Di,bi,bf,telf,bterm,tterm)</f>
        <v>202.09658206166011</v>
      </c>
      <c r="Q155" cm="1">
        <f t="array" aca="1" ref="Q155" ca="1">thm_rate(C155,$F$3,$F$4,$F$5,$F$6,$F$7,$F$8,$F$9)</f>
        <v>97.030526362934836</v>
      </c>
      <c r="R155" s="2" cm="1">
        <f t="array" aca="1" ref="R155" ca="1">thm_cum($C155,$F$3,$F$4,$F$5,$F$6,$F$7,$F$8,$F$9)*$P$3/thm_cum($P$2,$F$3,$F$4,$F$5,$F$6,$F$7,$F$8,$F$9)</f>
        <v>180.71107634393613</v>
      </c>
    </row>
    <row r="156" spans="2:18" x14ac:dyDescent="0.25">
      <c r="B156" s="6" cm="1">
        <f t="array" ref="B156">B155+log_interval</f>
        <v>7.1380137882815351</v>
      </c>
      <c r="C156" s="8">
        <f t="shared" si="9"/>
        <v>1258.9254117941589</v>
      </c>
      <c r="D156" s="6">
        <f ca="1"/>
        <v>93.309272822987282</v>
      </c>
      <c r="E156" s="7">
        <f ca="1"/>
        <v>5.468120651879614E-4</v>
      </c>
      <c r="F156" s="7">
        <f ca="1"/>
        <v>0.79</v>
      </c>
      <c r="G156" s="8">
        <f ca="1"/>
        <v>208.79722081122878</v>
      </c>
      <c r="H156" s="20">
        <f t="shared" ca="1" si="10"/>
        <v>184.76477688420417</v>
      </c>
      <c r="I156" s="2"/>
      <c r="J156" s="2" cm="1">
        <f t="array" aca="1" ref="J156" ca="1">thm_rate($C156,qi,Di,bi,bf,telf,bterm,tterm)</f>
        <v>93.309272822987282</v>
      </c>
      <c r="K156" s="2" cm="1">
        <f t="array" aca="1" ref="K156" ca="1">thm_D($C156,qi,Di,bi,bf,telf,bterm,tterm)</f>
        <v>5.468120651879614E-4</v>
      </c>
      <c r="L156" s="3" cm="1">
        <f t="array" aca="1" ref="L156" ca="1">thm_D_eff(C156,qi,Di,bi,bf,telf,bterm,tterm)</f>
        <v>0.16926958877758203</v>
      </c>
      <c r="M156" s="2" cm="1">
        <f t="array" aca="1" ref="M156" ca="1">thm_b(C156,qi,Di,bi,bf,telf,bterm,tterm)</f>
        <v>0.79</v>
      </c>
      <c r="N156" s="2" cm="1">
        <f t="array" aca="1" ref="N156" ca="1">thm_monthly_vol(C156,qi,Di,bi,bf,telf,bterm,tterm)</f>
        <v>2.8639729901520923</v>
      </c>
      <c r="O156" s="2" cm="1">
        <f t="array" aca="1" ref="O156" ca="1">thm_cum($C156,qi,Di,bi,bf,telf,bterm,tterm)</f>
        <v>208.79722081122878</v>
      </c>
      <c r="Q156" cm="1">
        <f t="array" aca="1" ref="Q156" ca="1">thm_rate(C156,$F$3,$F$4,$F$5,$F$6,$F$7,$F$8,$F$9)</f>
        <v>93.309272822987339</v>
      </c>
      <c r="R156" s="2" cm="1">
        <f t="array" aca="1" ref="R156" ca="1">thm_cum($C156,$F$3,$F$4,$F$5,$F$6,$F$7,$F$8,$F$9)*$P$3/thm_cum($P$2,$F$3,$F$4,$F$5,$F$6,$F$7,$F$8,$F$9)</f>
        <v>187.37075000839025</v>
      </c>
    </row>
    <row r="157" spans="2:18" x14ac:dyDescent="0.25">
      <c r="B157" s="6" cm="1">
        <f t="array" ref="B157">B156+log_interval</f>
        <v>7.195578415606386</v>
      </c>
      <c r="C157" s="8">
        <f t="shared" si="9"/>
        <v>1333.521432163315</v>
      </c>
      <c r="D157" s="6">
        <f ca="1"/>
        <v>89.637423946442951</v>
      </c>
      <c r="E157" s="7">
        <f ca="1"/>
        <v>5.2974161670290903E-4</v>
      </c>
      <c r="F157" s="7">
        <f ca="1"/>
        <v>0.79</v>
      </c>
      <c r="G157" s="8">
        <f ca="1"/>
        <v>215.61912835155215</v>
      </c>
      <c r="H157" s="20">
        <f t="shared" ca="1" si="10"/>
        <v>190.80148666278916</v>
      </c>
      <c r="I157" s="2"/>
      <c r="J157" s="2" cm="1">
        <f t="array" aca="1" ref="J157" ca="1">thm_rate($C157,qi,Di,bi,bf,telf,bterm,tterm)</f>
        <v>89.637423946442951</v>
      </c>
      <c r="K157" s="2" cm="1">
        <f t="array" aca="1" ref="K157" ca="1">thm_D($C157,qi,Di,bi,bf,telf,bterm,tterm)</f>
        <v>5.2974161670290903E-4</v>
      </c>
      <c r="L157" s="3" cm="1">
        <f t="array" aca="1" ref="L157" ca="1">thm_D_eff(C157,qi,Di,bi,bf,telf,bterm,tterm)</f>
        <v>0.16477420638262907</v>
      </c>
      <c r="M157" s="2" cm="1">
        <f t="array" aca="1" ref="M157" ca="1">thm_b(C157,qi,Di,bi,bf,telf,bterm,tterm)</f>
        <v>0.79</v>
      </c>
      <c r="N157" s="2" cm="1">
        <f t="array" aca="1" ref="N157" ca="1">thm_monthly_vol(C157,qi,Di,bi,bf,telf,bterm,tterm)</f>
        <v>2.750548815283679</v>
      </c>
      <c r="O157" s="2" cm="1">
        <f t="array" aca="1" ref="O157" ca="1">thm_cum($C157,qi,Di,bi,bf,telf,bterm,tterm)</f>
        <v>215.61912835155215</v>
      </c>
      <c r="Q157" cm="1">
        <f t="array" aca="1" ref="Q157" ca="1">thm_rate(C157,$F$3,$F$4,$F$5,$F$6,$F$7,$F$8,$F$9)</f>
        <v>89.637423946442979</v>
      </c>
      <c r="R157" s="2" cm="1">
        <f t="array" aca="1" ref="R157" ca="1">thm_cum($C157,$F$3,$F$4,$F$5,$F$6,$F$7,$F$8,$F$9)*$P$3/thm_cum($P$2,$F$3,$F$4,$F$5,$F$6,$F$7,$F$8,$F$9)</f>
        <v>194.15095107363319</v>
      </c>
    </row>
    <row r="158" spans="2:18" x14ac:dyDescent="0.25">
      <c r="B158" s="6" cm="1">
        <f t="array" ref="B158">B157+log_interval</f>
        <v>7.2531430429312369</v>
      </c>
      <c r="C158" s="8">
        <f t="shared" si="9"/>
        <v>1412.5375446227445</v>
      </c>
      <c r="D158" s="6">
        <f ca="1"/>
        <v>86.021045343367291</v>
      </c>
      <c r="E158" s="7">
        <f ca="1"/>
        <v>5.127848884217992E-4</v>
      </c>
      <c r="F158" s="7">
        <f ca="1"/>
        <v>0.79</v>
      </c>
      <c r="G158" s="8">
        <f ca="1"/>
        <v>222.55729778921932</v>
      </c>
      <c r="H158" s="20">
        <f t="shared" ca="1" si="10"/>
        <v>196.94107665902939</v>
      </c>
      <c r="I158" s="2"/>
      <c r="J158" s="2" cm="1">
        <f t="array" aca="1" ref="J158" ca="1">thm_rate($C158,qi,Di,bi,bf,telf,bterm,tterm)</f>
        <v>86.021045343367291</v>
      </c>
      <c r="K158" s="2" cm="1">
        <f t="array" aca="1" ref="K158" ca="1">thm_D($C158,qi,Di,bi,bf,telf,bterm,tterm)</f>
        <v>5.127848884217992E-4</v>
      </c>
      <c r="L158" s="3" cm="1">
        <f t="array" aca="1" ref="L158" ca="1">thm_D_eff(C158,qi,Di,bi,bf,telf,bterm,tterm)</f>
        <v>0.16026547805127589</v>
      </c>
      <c r="M158" s="2" cm="1">
        <f t="array" aca="1" ref="M158" ca="1">thm_b(C158,qi,Di,bi,bf,telf,bterm,tterm)</f>
        <v>0.79</v>
      </c>
      <c r="N158" s="2" cm="1">
        <f t="array" aca="1" ref="N158" ca="1">thm_monthly_vol(C158,qi,Di,bi,bf,telf,bterm,tterm)</f>
        <v>2.6388905888626937</v>
      </c>
      <c r="O158" s="2" cm="1">
        <f t="array" aca="1" ref="O158" ca="1">thm_cum($C158,qi,Di,bi,bf,telf,bterm,tterm)</f>
        <v>222.55729778921932</v>
      </c>
      <c r="Q158" cm="1">
        <f t="array" aca="1" ref="Q158" ca="1">thm_rate(C158,$F$3,$F$4,$F$5,$F$6,$F$7,$F$8,$F$9)</f>
        <v>86.021045343367319</v>
      </c>
      <c r="R158" s="2" cm="1">
        <f t="array" aca="1" ref="R158" ca="1">thm_cum($C158,$F$3,$F$4,$F$5,$F$6,$F$7,$F$8,$F$9)*$P$3/thm_cum($P$2,$F$3,$F$4,$F$5,$F$6,$F$7,$F$8,$F$9)</f>
        <v>201.0467032564423</v>
      </c>
    </row>
    <row r="159" spans="2:18" x14ac:dyDescent="0.25">
      <c r="B159" s="6" cm="1">
        <f t="array" ref="B159">B158+log_interval</f>
        <v>7.3107076702560878</v>
      </c>
      <c r="C159" s="8">
        <f t="shared" si="9"/>
        <v>1496.2356560944227</v>
      </c>
      <c r="D159" s="6">
        <f ca="1"/>
        <v>82.465862796807926</v>
      </c>
      <c r="E159" s="7">
        <f ca="1"/>
        <v>4.9596852499039085E-4</v>
      </c>
      <c r="F159" s="7">
        <f ca="1"/>
        <v>0.79</v>
      </c>
      <c r="G159" s="8">
        <f ca="1"/>
        <v>229.60644245007487</v>
      </c>
      <c r="H159" s="20">
        <f t="shared" ca="1" si="10"/>
        <v>203.17886869202283</v>
      </c>
      <c r="I159" s="2"/>
      <c r="J159" s="2" cm="1">
        <f t="array" aca="1" ref="J159" ca="1">thm_rate($C159,qi,Di,bi,bf,telf,bterm,tterm)</f>
        <v>82.465862796807926</v>
      </c>
      <c r="K159" s="2" cm="1">
        <f t="array" aca="1" ref="K159" ca="1">thm_D($C159,qi,Di,bi,bf,telf,bterm,tterm)</f>
        <v>4.9596852499039085E-4</v>
      </c>
      <c r="L159" s="3" cm="1">
        <f t="array" aca="1" ref="L159" ca="1">thm_D_eff(C159,qi,Di,bi,bf,telf,bterm,tterm)</f>
        <v>0.15575086209938938</v>
      </c>
      <c r="M159" s="2" cm="1">
        <f t="array" aca="1" ref="M159" ca="1">thm_b(C159,qi,Di,bi,bf,telf,bterm,tterm)</f>
        <v>0.79</v>
      </c>
      <c r="N159" s="2" cm="1">
        <f t="array" aca="1" ref="N159" ca="1">thm_monthly_vol(C159,qi,Di,bi,bf,telf,bterm,tterm)</f>
        <v>2.5291729750553884</v>
      </c>
      <c r="O159" s="2" cm="1">
        <f t="array" aca="1" ref="O159" ca="1">thm_cum($C159,qi,Di,bi,bf,telf,bterm,tterm)</f>
        <v>229.60644245007487</v>
      </c>
      <c r="Q159" cm="1">
        <f t="array" aca="1" ref="Q159" ca="1">thm_rate(C159,$F$3,$F$4,$F$5,$F$6,$F$7,$F$8,$F$9)</f>
        <v>82.465862796807954</v>
      </c>
      <c r="R159" s="2" cm="1">
        <f t="array" aca="1" ref="R159" ca="1">thm_cum($C159,$F$3,$F$4,$F$5,$F$6,$F$7,$F$8,$F$9)*$P$3/thm_cum($P$2,$F$3,$F$4,$F$5,$F$6,$F$7,$F$8,$F$9)</f>
        <v>208.05275220332055</v>
      </c>
    </row>
    <row r="160" spans="2:18" x14ac:dyDescent="0.25">
      <c r="B160" s="6" cm="1">
        <f t="array" ref="B160">B159+log_interval</f>
        <v>7.3682722975809387</v>
      </c>
      <c r="C160" s="8">
        <f t="shared" si="9"/>
        <v>1584.8931924611015</v>
      </c>
      <c r="D160" s="6">
        <f ca="1"/>
        <v>78.97722834188103</v>
      </c>
      <c r="E160" s="7">
        <f ca="1"/>
        <v>4.7931827145578901E-4</v>
      </c>
      <c r="F160" s="7">
        <f ca="1"/>
        <v>0.79</v>
      </c>
      <c r="G160" s="8">
        <f ca="1"/>
        <v>236.76102167696868</v>
      </c>
      <c r="H160" s="20">
        <f t="shared" ca="1" si="10"/>
        <v>209.50995983117417</v>
      </c>
      <c r="I160" s="2"/>
      <c r="J160" s="2" cm="1">
        <f t="array" aca="1" ref="J160" ca="1">thm_rate($C160,qi,Di,bi,bf,telf,bterm,tterm)</f>
        <v>78.97722834188103</v>
      </c>
      <c r="K160" s="2" cm="1">
        <f t="array" aca="1" ref="K160" ca="1">thm_D($C160,qi,Di,bi,bf,telf,bterm,tterm)</f>
        <v>4.7931827145578901E-4</v>
      </c>
      <c r="L160" s="3" cm="1">
        <f t="array" aca="1" ref="L160" ca="1">thm_D_eff(C160,qi,Di,bi,bf,telf,bterm,tterm)</f>
        <v>0.15123785569131321</v>
      </c>
      <c r="M160" s="2" cm="1">
        <f t="array" aca="1" ref="M160" ca="1">thm_b(C160,qi,Di,bi,bf,telf,bterm,tterm)</f>
        <v>0.79</v>
      </c>
      <c r="N160" s="2" cm="1">
        <f t="array" aca="1" ref="N160" ca="1">thm_monthly_vol(C160,qi,Di,bi,bf,telf,bterm,tterm)</f>
        <v>2.4215588074982008</v>
      </c>
      <c r="O160" s="2" cm="1">
        <f t="array" aca="1" ref="O160" ca="1">thm_cum($C160,qi,Di,bi,bf,telf,bterm,tterm)</f>
        <v>236.76102167696868</v>
      </c>
      <c r="Q160" cm="1">
        <f t="array" aca="1" ref="Q160" ca="1">thm_rate(C160,$F$3,$F$4,$F$5,$F$6,$F$7,$F$8,$F$9)</f>
        <v>78.977228341881045</v>
      </c>
      <c r="R160" s="2" cm="1">
        <f t="array" aca="1" ref="R160" ca="1">thm_cum($C160,$F$3,$F$4,$F$5,$F$6,$F$7,$F$8,$F$9)*$P$3/thm_cum($P$2,$F$3,$F$4,$F$5,$F$6,$F$7,$F$8,$F$9)</f>
        <v>215.16359113052923</v>
      </c>
    </row>
    <row r="161" spans="2:18" x14ac:dyDescent="0.25">
      <c r="B161" s="6" cm="1">
        <f t="array" ref="B161">B160+log_interval</f>
        <v>7.4258369249057896</v>
      </c>
      <c r="C161" s="8">
        <f t="shared" si="9"/>
        <v>1678.8040181225474</v>
      </c>
      <c r="D161" s="6">
        <f ca="1"/>
        <v>75.560091171087365</v>
      </c>
      <c r="E161" s="7">
        <f ca="1"/>
        <v>4.6285882288815146E-4</v>
      </c>
      <c r="F161" s="7">
        <f ca="1"/>
        <v>0.79</v>
      </c>
      <c r="G161" s="8">
        <f ca="1"/>
        <v>244.01526813778901</v>
      </c>
      <c r="H161" s="20">
        <f t="shared" ref="H161:H192" ca="1" si="11">$P$4*G161</f>
        <v>215.92924656108841</v>
      </c>
      <c r="I161" s="2"/>
      <c r="J161" s="2" cm="1">
        <f t="array" aca="1" ref="J161" ca="1">thm_rate($C161,qi,Di,bi,bf,telf,bterm,tterm)</f>
        <v>75.560091171087365</v>
      </c>
      <c r="K161" s="2" cm="1">
        <f t="array" aca="1" ref="K161" ca="1">thm_D($C161,qi,Di,bi,bf,telf,bterm,tterm)</f>
        <v>4.6285882288815146E-4</v>
      </c>
      <c r="L161" s="3" cm="1">
        <f t="array" aca="1" ref="L161" ca="1">thm_D_eff(C161,qi,Di,bi,bf,telf,bterm,tterm)</f>
        <v>0.14673394503405157</v>
      </c>
      <c r="M161" s="2" cm="1">
        <f t="array" aca="1" ref="M161" ca="1">thm_b(C161,qi,Di,bi,bf,telf,bterm,tterm)</f>
        <v>0.79</v>
      </c>
      <c r="N161" s="2" cm="1">
        <f t="array" aca="1" ref="N161" ca="1">thm_monthly_vol(C161,qi,Di,bi,bf,telf,bterm,tterm)</f>
        <v>2.3161982269053283</v>
      </c>
      <c r="O161" s="2" cm="1">
        <f t="array" aca="1" ref="O161" ca="1">thm_cum($C161,qi,Di,bi,bf,telf,bterm,tterm)</f>
        <v>244.01526813778901</v>
      </c>
      <c r="Q161" cm="1">
        <f t="array" aca="1" ref="Q161" ca="1">thm_rate(C161,$F$3,$F$4,$F$5,$F$6,$F$7,$F$8,$F$9)</f>
        <v>75.560091171087365</v>
      </c>
      <c r="R161" s="2" cm="1">
        <f t="array" aca="1" ref="R161" ca="1">thm_cum($C161,$F$3,$F$4,$F$5,$F$6,$F$7,$F$8,$F$9)*$P$3/thm_cum($P$2,$F$3,$F$4,$F$5,$F$6,$F$7,$F$8,$F$9)</f>
        <v>222.37348796516983</v>
      </c>
    </row>
    <row r="162" spans="2:18" x14ac:dyDescent="0.25">
      <c r="B162" s="6" cm="1">
        <f t="array" ref="B162">B161+log_interval</f>
        <v>7.4834015522306405</v>
      </c>
      <c r="C162" s="8">
        <f>EXP(B162)</f>
        <v>1778.2794100389087</v>
      </c>
      <c r="D162" s="6">
        <f ca="1"/>
        <v>72.218973650885189</v>
      </c>
      <c r="E162" s="7">
        <f ca="1"/>
        <v>4.4661368784442541E-4</v>
      </c>
      <c r="F162" s="7">
        <f ca="1"/>
        <v>0.79</v>
      </c>
      <c r="G162" s="8">
        <f ca="1"/>
        <v>251.36321632054103</v>
      </c>
      <c r="H162" s="20">
        <f t="shared" ca="1" si="11"/>
        <v>222.43144999688175</v>
      </c>
      <c r="I162" s="2"/>
      <c r="J162" s="2" cm="1">
        <f t="array" aca="1" ref="J162" ca="1">thm_rate($C162,qi,Di,bi,bf,telf,bterm,tterm)</f>
        <v>72.218973650885189</v>
      </c>
      <c r="K162" s="2" cm="1">
        <f t="array" aca="1" ref="K162" ca="1">thm_D($C162,qi,Di,bi,bf,telf,bterm,tterm)</f>
        <v>4.4661368784442541E-4</v>
      </c>
      <c r="L162" s="3" cm="1">
        <f t="array" aca="1" ref="L162" ca="1">thm_D_eff(C162,qi,Di,bi,bf,telf,bterm,tterm)</f>
        <v>0.14224655573097877</v>
      </c>
      <c r="M162" s="2" cm="1">
        <f t="array" aca="1" ref="M162" ca="1">thm_b(C162,qi,Di,bi,bf,telf,bterm,tterm)</f>
        <v>0.79</v>
      </c>
      <c r="N162" s="2" cm="1">
        <f t="array" aca="1" ref="N162" ca="1">thm_monthly_vol(C162,qi,Di,bi,bf,telf,bterm,tterm)</f>
        <v>2.2132279788237952</v>
      </c>
      <c r="O162" s="2" cm="1">
        <f t="array" aca="1" ref="O162" ca="1">thm_cum($C162,qi,Di,bi,bf,telf,bterm,tterm)</f>
        <v>251.36321632054103</v>
      </c>
      <c r="Q162" cm="1">
        <f t="array" aca="1" ref="Q162" ca="1">thm_rate(C162,$F$3,$F$4,$F$5,$F$6,$F$7,$F$8,$F$9)</f>
        <v>72.218973650885189</v>
      </c>
      <c r="R162" s="2" cm="1">
        <f t="array" aca="1" ref="R162" ca="1">thm_cum($C162,$F$3,$F$4,$F$5,$F$6,$F$7,$F$8,$F$9)*$P$3/thm_cum($P$2,$F$3,$F$4,$F$5,$F$6,$F$7,$F$8,$F$9)</f>
        <v>229.67651366605509</v>
      </c>
    </row>
    <row r="163" spans="2:18" x14ac:dyDescent="0.25">
      <c r="B163" s="6" cm="1">
        <f t="array" ref="B163">B162+log_interval</f>
        <v>7.5409661795554914</v>
      </c>
      <c r="C163" s="8">
        <f t="shared" ref="C163:C232" si="12">EXP(B163)</f>
        <v>1883.6490894897852</v>
      </c>
      <c r="D163" s="6">
        <f ca="1"/>
        <v>68.957952625340468</v>
      </c>
      <c r="E163" s="7">
        <f ca="1"/>
        <v>4.3060506712070892E-4</v>
      </c>
      <c r="F163" s="7">
        <f ca="1"/>
        <v>0.79</v>
      </c>
      <c r="G163" s="8">
        <f ca="1"/>
        <v>258.79873188323893</v>
      </c>
      <c r="H163" s="20">
        <f t="shared" ca="1" si="11"/>
        <v>229.01114185591737</v>
      </c>
      <c r="I163" s="2"/>
      <c r="J163" s="2" cm="1">
        <f t="array" aca="1" ref="J163" ca="1">thm_rate($C163,qi,Di,bi,bf,telf,bterm,tterm)</f>
        <v>68.957952625340468</v>
      </c>
      <c r="K163" s="2" cm="1">
        <f t="array" aca="1" ref="K163" ca="1">thm_D($C163,qi,Di,bi,bf,telf,bterm,tterm)</f>
        <v>4.3060506712070892E-4</v>
      </c>
      <c r="L163" s="3" cm="1">
        <f t="array" aca="1" ref="L163" ca="1">thm_D_eff(C163,qi,Di,bi,bf,telf,bterm,tterm)</f>
        <v>0.13778300399379839</v>
      </c>
      <c r="M163" s="2" cm="1">
        <f t="array" aca="1" ref="M163" ca="1">thm_b(C163,qi,Di,bi,bf,telf,bterm,tterm)</f>
        <v>0.79</v>
      </c>
      <c r="N163" s="2" cm="1">
        <f t="array" aca="1" ref="N163" ca="1">thm_monthly_vol(C163,qi,Di,bi,bf,telf,bterm,tterm)</f>
        <v>2.112770876123875</v>
      </c>
      <c r="O163" s="2" cm="1">
        <f t="array" aca="1" ref="O163" ca="1">thm_cum($C163,qi,Di,bi,bf,telf,bterm,tterm)</f>
        <v>258.79873188323893</v>
      </c>
      <c r="Q163" cm="1">
        <f t="array" aca="1" ref="Q163" ca="1">thm_rate(C163,$F$3,$F$4,$F$5,$F$6,$F$7,$F$8,$F$9)</f>
        <v>68.957952625340496</v>
      </c>
      <c r="R163" s="2" cm="1">
        <f t="array" aca="1" ref="R163" ca="1">thm_cum($C163,$F$3,$F$4,$F$5,$F$6,$F$7,$F$8,$F$9)*$P$3/thm_cum($P$2,$F$3,$F$4,$F$5,$F$6,$F$7,$F$8,$F$9)</f>
        <v>237.0665713941674</v>
      </c>
    </row>
    <row r="164" spans="2:18" x14ac:dyDescent="0.25">
      <c r="B164" s="6" cm="1">
        <f t="array" ref="B164">B163+log_interval</f>
        <v>7.5985308068803423</v>
      </c>
      <c r="C164" s="8">
        <f t="shared" si="12"/>
        <v>1995.2623149688627</v>
      </c>
      <c r="D164" s="6">
        <f ca="1"/>
        <v>65.780646073694314</v>
      </c>
      <c r="E164" s="7">
        <f ca="1"/>
        <v>4.1485374891111272E-4</v>
      </c>
      <c r="F164" s="7">
        <f ca="1"/>
        <v>0.79</v>
      </c>
      <c r="G164" s="8">
        <f ca="1"/>
        <v>266.31554152412826</v>
      </c>
      <c r="H164" s="20">
        <f t="shared" ca="1" si="11"/>
        <v>235.66277088998189</v>
      </c>
      <c r="I164" s="2"/>
      <c r="J164" s="2" cm="1">
        <f t="array" aca="1" ref="J164" ca="1">thm_rate($C164,qi,Di,bi,bf,telf,bterm,tterm)</f>
        <v>65.780646073694314</v>
      </c>
      <c r="K164" s="2" cm="1">
        <f t="array" aca="1" ref="K164" ca="1">thm_D($C164,qi,Di,bi,bf,telf,bterm,tterm)</f>
        <v>4.1485374891111272E-4</v>
      </c>
      <c r="L164" s="3" cm="1">
        <f t="array" aca="1" ref="L164" ca="1">thm_D_eff(C164,qi,Di,bi,bf,telf,bterm,tterm)</f>
        <v>0.13335044939062335</v>
      </c>
      <c r="M164" s="2" cm="1">
        <f t="array" aca="1" ref="M164" ca="1">thm_b(C164,qi,Di,bi,bf,telf,bterm,tterm)</f>
        <v>0.79</v>
      </c>
      <c r="N164" s="2" cm="1">
        <f t="array" aca="1" ref="N164" ca="1">thm_monthly_vol(C164,qi,Di,bi,bf,telf,bterm,tterm)</f>
        <v>2.0149354274533948</v>
      </c>
      <c r="O164" s="2" cm="1">
        <f t="array" aca="1" ref="O164" ca="1">thm_cum($C164,qi,Di,bi,bf,telf,bterm,tterm)</f>
        <v>266.31554152412826</v>
      </c>
      <c r="Q164" cm="1">
        <f t="array" aca="1" ref="Q164" ca="1">thm_rate(C164,$F$3,$F$4,$F$5,$F$6,$F$7,$F$8,$F$9)</f>
        <v>65.780646073694328</v>
      </c>
      <c r="R164" s="2" cm="1">
        <f t="array" aca="1" ref="R164" ca="1">thm_cum($C164,$F$3,$F$4,$F$5,$F$6,$F$7,$F$8,$F$9)*$P$3/thm_cum($P$2,$F$3,$F$4,$F$5,$F$6,$F$7,$F$8,$F$9)</f>
        <v>244.53742620026597</v>
      </c>
    </row>
    <row r="165" spans="2:18" x14ac:dyDescent="0.25">
      <c r="B165" s="6" cm="1">
        <f t="array" ref="B165">B164+log_interval</f>
        <v>7.6560954342051932</v>
      </c>
      <c r="C165" s="8">
        <f t="shared" si="12"/>
        <v>2113.4890398366283</v>
      </c>
      <c r="D165" s="6">
        <f ca="1"/>
        <v>62.690205083231575</v>
      </c>
      <c r="E165" s="7">
        <f ca="1"/>
        <v>3.9937902115082198E-4</v>
      </c>
      <c r="F165" s="7">
        <f ca="1"/>
        <v>0.79</v>
      </c>
      <c r="G165" s="8">
        <f ca="1"/>
        <v>273.90726304201041</v>
      </c>
      <c r="H165" s="20">
        <f t="shared" ca="1" si="11"/>
        <v>242.38068948568321</v>
      </c>
      <c r="I165" s="2"/>
      <c r="J165" s="2" cm="1">
        <f t="array" aca="1" ref="J165" ca="1">thm_rate($C165,qi,Di,bi,bf,telf,bterm,tterm)</f>
        <v>62.690205083231575</v>
      </c>
      <c r="K165" s="2" cm="1">
        <f t="array" aca="1" ref="K165" ca="1">thm_D($C165,qi,Di,bi,bf,telf,bterm,tterm)</f>
        <v>3.9937902115082198E-4</v>
      </c>
      <c r="L165" s="3" cm="1">
        <f t="array" aca="1" ref="L165" ca="1">thm_D_eff(C165,qi,Di,bi,bf,telf,bterm,tterm)</f>
        <v>0.12895584977114638</v>
      </c>
      <c r="M165" s="2" cm="1">
        <f t="array" aca="1" ref="M165" ca="1">thm_b(C165,qi,Di,bi,bf,telf,bterm,tterm)</f>
        <v>0.79</v>
      </c>
      <c r="N165" s="2" cm="1">
        <f t="array" aca="1" ref="N165" ca="1">thm_monthly_vol(C165,qi,Di,bi,bf,telf,bterm,tterm)</f>
        <v>1.9198156296558864</v>
      </c>
      <c r="O165" s="2" cm="1">
        <f t="array" aca="1" ref="O165" ca="1">thm_cum($C165,qi,Di,bi,bf,telf,bterm,tterm)</f>
        <v>273.90726304201041</v>
      </c>
      <c r="Q165" cm="1">
        <f t="array" aca="1" ref="Q165" ca="1">thm_rate(C165,$F$3,$F$4,$F$5,$F$6,$F$7,$F$8,$F$9)</f>
        <v>62.690205083231596</v>
      </c>
      <c r="R165" s="2" cm="1">
        <f t="array" aca="1" ref="R165" ca="1">thm_cum($C165,$F$3,$F$4,$F$5,$F$6,$F$7,$F$8,$F$9)*$P$3/thm_cum($P$2,$F$3,$F$4,$F$5,$F$6,$F$7,$F$8,$F$9)</f>
        <v>252.08273490143497</v>
      </c>
    </row>
    <row r="166" spans="2:18" x14ac:dyDescent="0.25">
      <c r="B166" s="6" cm="1">
        <f t="array" ref="B166">B165+log_interval</f>
        <v>7.7136600615300441</v>
      </c>
      <c r="C166" s="8">
        <f t="shared" si="12"/>
        <v>2238.7211385683195</v>
      </c>
      <c r="D166" s="6">
        <f ca="1"/>
        <v>59.689310999886359</v>
      </c>
      <c r="E166" s="7">
        <f ca="1"/>
        <v>3.8419860147974479E-4</v>
      </c>
      <c r="F166" s="7">
        <f ca="1"/>
        <v>0.79</v>
      </c>
      <c r="G166" s="8">
        <f ca="1"/>
        <v>281.56743526682561</v>
      </c>
      <c r="H166" s="20">
        <f t="shared" ca="1" si="11"/>
        <v>249.15918015004002</v>
      </c>
      <c r="I166" s="2"/>
      <c r="J166" s="2" cm="1">
        <f t="array" aca="1" ref="J166" ca="1">thm_rate($C166,qi,Di,bi,bf,telf,bterm,tterm)</f>
        <v>59.689310999886359</v>
      </c>
      <c r="K166" s="2" cm="1">
        <f t="array" aca="1" ref="K166" ca="1">thm_D($C166,qi,Di,bi,bf,telf,bterm,tterm)</f>
        <v>3.8419860147974479E-4</v>
      </c>
      <c r="L166" s="3" cm="1">
        <f t="array" aca="1" ref="L166" ca="1">thm_D_eff(C166,qi,Di,bi,bf,telf,bterm,tterm)</f>
        <v>0.12460591895822914</v>
      </c>
      <c r="M166" s="2" cm="1">
        <f t="array" aca="1" ref="M166" ca="1">thm_b(C166,qi,Di,bi,bf,telf,bterm,tterm)</f>
        <v>0.79</v>
      </c>
      <c r="N166" s="2" cm="1">
        <f t="array" aca="1" ref="N166" ca="1">thm_monthly_vol(C166,qi,Di,bi,bf,telf,bterm,tterm)</f>
        <v>1.8274909191566167</v>
      </c>
      <c r="O166" s="2" cm="1">
        <f t="array" aca="1" ref="O166" ca="1">thm_cum($C166,qi,Di,bi,bf,telf,bterm,tterm)</f>
        <v>281.56743526682561</v>
      </c>
      <c r="Q166" cm="1">
        <f t="array" aca="1" ref="Q166" ca="1">thm_rate(C166,$F$3,$F$4,$F$5,$F$6,$F$7,$F$8,$F$9)</f>
        <v>59.689310999886381</v>
      </c>
      <c r="R166" s="2" cm="1">
        <f t="array" aca="1" ref="R166" ca="1">thm_cum($C166,$F$3,$F$4,$F$5,$F$6,$F$7,$F$8,$F$9)*$P$3/thm_cum($P$2,$F$3,$F$4,$F$5,$F$6,$F$7,$F$8,$F$9)</f>
        <v>259.69607582868133</v>
      </c>
    </row>
    <row r="167" spans="2:18" x14ac:dyDescent="0.25">
      <c r="B167" s="6" cm="1">
        <f t="array" ref="B167">B166+log_interval</f>
        <v>7.771224688854895</v>
      </c>
      <c r="C167" s="8">
        <f t="shared" si="12"/>
        <v>2371.3737056616337</v>
      </c>
      <c r="D167" s="6">
        <f ca="1"/>
        <v>56.780177529141831</v>
      </c>
      <c r="E167" s="7">
        <f ca="1"/>
        <v>3.6932858493041247E-4</v>
      </c>
      <c r="F167" s="7">
        <f ca="1"/>
        <v>0.79</v>
      </c>
      <c r="G167" s="8">
        <f ca="1"/>
        <v>289.28954755656514</v>
      </c>
      <c r="H167" s="20">
        <f t="shared" ca="1" si="11"/>
        <v>255.9924816123158</v>
      </c>
      <c r="I167" s="2"/>
      <c r="J167" s="2" cm="1">
        <f t="array" aca="1" ref="J167" ca="1">thm_rate($C167,qi,Di,bi,bf,telf,bterm,tterm)</f>
        <v>56.780177529141831</v>
      </c>
      <c r="K167" s="2" cm="1">
        <f t="array" aca="1" ref="K167" ca="1">thm_D($C167,qi,Di,bi,bf,telf,bterm,tterm)</f>
        <v>3.6932858493041247E-4</v>
      </c>
      <c r="L167" s="3" cm="1">
        <f t="array" aca="1" ref="L167" ca="1">thm_D_eff(C167,qi,Di,bi,bf,telf,bterm,tterm)</f>
        <v>0.12030708773074761</v>
      </c>
      <c r="M167" s="2" cm="1">
        <f t="array" aca="1" ref="M167" ca="1">thm_b(C167,qi,Di,bi,bf,telf,bterm,tterm)</f>
        <v>0.79</v>
      </c>
      <c r="N167" s="2" cm="1">
        <f t="array" aca="1" ref="N167" ca="1">thm_monthly_vol(C167,qi,Di,bi,bf,telf,bterm,tterm)</f>
        <v>1.7380262746064545</v>
      </c>
      <c r="O167" s="2" cm="1">
        <f t="array" aca="1" ref="O167" ca="1">thm_cum($C167,qi,Di,bi,bf,telf,bterm,tterm)</f>
        <v>289.28954755656514</v>
      </c>
      <c r="Q167" cm="1">
        <f t="array" aca="1" ref="Q167" ca="1">thm_rate(C167,$F$3,$F$4,$F$5,$F$6,$F$7,$F$8,$F$9)</f>
        <v>56.780177529141838</v>
      </c>
      <c r="R167" s="2" cm="1">
        <f t="array" aca="1" ref="R167" ca="1">thm_cum($C167,$F$3,$F$4,$F$5,$F$6,$F$7,$F$8,$F$9)*$P$3/thm_cum($P$2,$F$3,$F$4,$F$5,$F$6,$F$7,$F$8,$F$9)</f>
        <v>267.37097814351625</v>
      </c>
    </row>
    <row r="168" spans="2:18" x14ac:dyDescent="0.25">
      <c r="B168" s="6" cm="1">
        <f t="array" ref="B168">B167+log_interval</f>
        <v>7.8287893161797459</v>
      </c>
      <c r="C168" s="8">
        <f t="shared" si="12"/>
        <v>2511.8864315095566</v>
      </c>
      <c r="D168" s="6">
        <f ca="1"/>
        <v>53.964557481029885</v>
      </c>
      <c r="E168" s="7">
        <f ca="1"/>
        <v>3.547834091284747E-4</v>
      </c>
      <c r="F168" s="7">
        <f ca="1"/>
        <v>0.79</v>
      </c>
      <c r="G168" s="8">
        <f ca="1"/>
        <v>297.0670685773714</v>
      </c>
      <c r="H168" s="20">
        <f t="shared" ca="1" si="11"/>
        <v>262.87481429154559</v>
      </c>
      <c r="I168" s="2"/>
      <c r="J168" s="2" cm="1">
        <f t="array" aca="1" ref="J168" ca="1">thm_rate($C168,qi,Di,bi,bf,telf,bterm,tterm)</f>
        <v>53.964557481029885</v>
      </c>
      <c r="K168" s="2" cm="1">
        <f t="array" aca="1" ref="K168" ca="1">thm_D($C168,qi,Di,bi,bf,telf,bterm,tterm)</f>
        <v>3.547834091284747E-4</v>
      </c>
      <c r="L168" s="3" cm="1">
        <f t="array" aca="1" ref="L168" ca="1">thm_D_eff(C168,qi,Di,bi,bf,telf,bterm,tterm)</f>
        <v>0.11606546854745581</v>
      </c>
      <c r="M168" s="2" cm="1">
        <f t="array" aca="1" ref="M168" ca="1">thm_b(C168,qi,Di,bi,bf,telf,bterm,tterm)</f>
        <v>0.79</v>
      </c>
      <c r="N168" s="2" cm="1">
        <f t="array" aca="1" ref="N168" ca="1">thm_monthly_vol(C168,qi,Di,bi,bf,telf,bterm,tterm)</f>
        <v>1.6514724607402513</v>
      </c>
      <c r="O168" s="2" cm="1">
        <f t="array" aca="1" ref="O168" ca="1">thm_cum($C168,qi,Di,bi,bf,telf,bterm,tterm)</f>
        <v>297.0670685773714</v>
      </c>
      <c r="Q168" cm="1">
        <f t="array" aca="1" ref="Q168" ca="1">thm_rate(C168,$F$3,$F$4,$F$5,$F$6,$F$7,$F$8,$F$9)</f>
        <v>53.964557481029907</v>
      </c>
      <c r="R168" s="2" cm="1">
        <f t="array" aca="1" ref="R168" ca="1">thm_cum($C168,$F$3,$F$4,$F$5,$F$6,$F$7,$F$8,$F$9)*$P$3/thm_cum($P$2,$F$3,$F$4,$F$5,$F$6,$F$7,$F$8,$F$9)</f>
        <v>275.10095044210294</v>
      </c>
    </row>
    <row r="169" spans="2:18" x14ac:dyDescent="0.25">
      <c r="B169" s="6" cm="1">
        <f t="array" ref="B169">B168+log_interval</f>
        <v>7.8863539435045968</v>
      </c>
      <c r="C169" s="8">
        <f t="shared" si="12"/>
        <v>2660.7250597987841</v>
      </c>
      <c r="D169" s="6">
        <f ca="1"/>
        <v>51.243753786917367</v>
      </c>
      <c r="E169" s="7">
        <f ca="1"/>
        <v>3.4057583650379014E-4</v>
      </c>
      <c r="F169" s="7">
        <f ca="1"/>
        <v>0.79</v>
      </c>
      <c r="G169" s="8">
        <f ca="1"/>
        <v>304.89347410851269</v>
      </c>
      <c r="H169" s="20">
        <f t="shared" ca="1" si="11"/>
        <v>269.80040490117335</v>
      </c>
      <c r="I169" s="2"/>
      <c r="J169" s="2" cm="1">
        <f t="array" aca="1" ref="J169" ca="1">thm_rate($C169,qi,Di,bi,bf,telf,bterm,tterm)</f>
        <v>51.243753786917367</v>
      </c>
      <c r="K169" s="2" cm="1">
        <f t="array" aca="1" ref="K169" ca="1">thm_D($C169,qi,Di,bi,bf,telf,bterm,tterm)</f>
        <v>3.4057583650379014E-4</v>
      </c>
      <c r="L169" s="3" cm="1">
        <f t="array" aca="1" ref="L169" ca="1">thm_D_eff(C169,qi,Di,bi,bf,telf,bterm,tterm)</f>
        <v>0.11188682437853126</v>
      </c>
      <c r="M169" s="2" cm="1">
        <f t="array" aca="1" ref="M169" ca="1">thm_b(C169,qi,Di,bi,bf,telf,bterm,tterm)</f>
        <v>0.79</v>
      </c>
      <c r="N169" s="2" cm="1">
        <f t="array" aca="1" ref="N169" ca="1">thm_monthly_vol(C169,qi,Di,bi,bf,telf,bterm,tterm)</f>
        <v>1.5678664014520791</v>
      </c>
      <c r="O169" s="2" cm="1">
        <f t="array" aca="1" ref="O169" ca="1">thm_cum($C169,qi,Di,bi,bf,telf,bterm,tterm)</f>
        <v>304.89347410851269</v>
      </c>
      <c r="Q169" cm="1">
        <f t="array" aca="1" ref="Q169" ca="1">thm_rate(C169,$F$3,$F$4,$F$5,$F$6,$F$7,$F$8,$F$9)</f>
        <v>51.243753786917374</v>
      </c>
      <c r="R169" s="2" cm="1">
        <f t="array" aca="1" ref="R169" ca="1">thm_cum($C169,$F$3,$F$4,$F$5,$F$6,$F$7,$F$8,$F$9)*$P$3/thm_cum($P$2,$F$3,$F$4,$F$5,$F$6,$F$7,$F$8,$F$9)</f>
        <v>282.8795083902441</v>
      </c>
    </row>
    <row r="170" spans="2:18" x14ac:dyDescent="0.25">
      <c r="B170" s="6" cm="1">
        <f t="array" ref="B170">B169+log_interval</f>
        <v>7.9439185708294477</v>
      </c>
      <c r="C170" s="8">
        <f t="shared" si="12"/>
        <v>2818.3829312644261</v>
      </c>
      <c r="D170" s="6">
        <f ca="1"/>
        <v>48.618634363214674</v>
      </c>
      <c r="E170" s="7">
        <f ca="1"/>
        <v>3.2671695275089826E-4</v>
      </c>
      <c r="F170" s="7">
        <f ca="1"/>
        <v>0.79</v>
      </c>
      <c r="G170" s="8">
        <f ca="1"/>
        <v>312.76227364196484</v>
      </c>
      <c r="H170" s="20">
        <f t="shared" ca="1" si="11"/>
        <v>276.7635099870368</v>
      </c>
      <c r="I170" s="2"/>
      <c r="J170" s="2" cm="1">
        <f t="array" aca="1" ref="J170" ca="1">thm_rate($C170,qi,Di,bi,bf,telf,bterm,tterm)</f>
        <v>48.618634363214674</v>
      </c>
      <c r="K170" s="2" cm="1">
        <f t="array" aca="1" ref="K170" ca="1">thm_D($C170,qi,Di,bi,bf,telf,bterm,tterm)</f>
        <v>3.2671695275089826E-4</v>
      </c>
      <c r="L170" s="3" cm="1">
        <f t="array" aca="1" ref="L170" ca="1">thm_D_eff(C170,qi,Di,bi,bf,telf,bterm,tterm)</f>
        <v>0.10777654192311137</v>
      </c>
      <c r="M170" s="2" cm="1">
        <f t="array" aca="1" ref="M170" ca="1">thm_b(C170,qi,Di,bi,bf,telf,bterm,tterm)</f>
        <v>0.79</v>
      </c>
      <c r="N170" s="2" cm="1">
        <f t="array" aca="1" ref="N170" ca="1">thm_monthly_vol(C170,qi,Di,bi,bf,telf,bterm,tterm)</f>
        <v>1.4872316685729174</v>
      </c>
      <c r="O170" s="2" cm="1">
        <f t="array" aca="1" ref="O170" ca="1">thm_cum($C170,qi,Di,bi,bf,telf,bterm,tterm)</f>
        <v>312.76227364196484</v>
      </c>
      <c r="Q170" cm="1">
        <f t="array" aca="1" ref="Q170" ca="1">thm_rate(C170,$F$3,$F$4,$F$5,$F$6,$F$7,$F$8,$F$9)</f>
        <v>48.618634363214689</v>
      </c>
      <c r="R170" s="2" cm="1">
        <f t="array" aca="1" ref="R170" ca="1">thm_cum($C170,$F$3,$F$4,$F$5,$F$6,$F$7,$F$8,$F$9)*$P$3/thm_cum($P$2,$F$3,$F$4,$F$5,$F$6,$F$7,$F$8,$F$9)</f>
        <v>290.70020116034368</v>
      </c>
    </row>
    <row r="171" spans="2:18" x14ac:dyDescent="0.25">
      <c r="B171" s="6" cm="1">
        <f t="array" ref="B171">B170+log_interval</f>
        <v>8.0014831981542986</v>
      </c>
      <c r="C171" s="8">
        <f t="shared" si="12"/>
        <v>2985.3826189179294</v>
      </c>
      <c r="D171" s="6">
        <f ca="1"/>
        <v>46.089650358542954</v>
      </c>
      <c r="E171" s="7">
        <f ca="1"/>
        <v>3.1321618055417388E-4</v>
      </c>
      <c r="F171" s="7">
        <f ca="1"/>
        <v>0.79</v>
      </c>
      <c r="G171" s="8">
        <f ca="1"/>
        <v>320.66703557669609</v>
      </c>
      <c r="H171" s="20">
        <f t="shared" ca="1" si="11"/>
        <v>283.75843822180394</v>
      </c>
      <c r="I171" s="2"/>
      <c r="J171" s="2" cm="1">
        <f t="array" aca="1" ref="J171" ca="1">thm_rate($C171,qi,Di,bi,bf,telf,bterm,tterm)</f>
        <v>46.089650358542954</v>
      </c>
      <c r="K171" s="2" cm="1">
        <f t="array" aca="1" ref="K171" ca="1">thm_D($C171,qi,Di,bi,bf,telf,bterm,tterm)</f>
        <v>3.1321618055417388E-4</v>
      </c>
      <c r="L171" s="3" cm="1">
        <f t="array" aca="1" ref="L171" ca="1">thm_D_eff(C171,qi,Di,bi,bf,telf,bterm,tterm)</f>
        <v>0.10373960940032267</v>
      </c>
      <c r="M171" s="2" cm="1">
        <f t="array" aca="1" ref="M171" ca="1">thm_b(C171,qi,Di,bi,bf,telf,bterm,tterm)</f>
        <v>0.79</v>
      </c>
      <c r="N171" s="2" cm="1">
        <f t="array" aca="1" ref="N171" ca="1">thm_monthly_vol(C171,qi,Di,bi,bf,telf,bterm,tterm)</f>
        <v>1.4095790717537398</v>
      </c>
      <c r="O171" s="2" cm="1">
        <f t="array" aca="1" ref="O171" ca="1">thm_cum($C171,qi,Di,bi,bf,telf,bterm,tterm)</f>
        <v>320.66703557669609</v>
      </c>
      <c r="Q171" cm="1">
        <f t="array" aca="1" ref="Q171" ca="1">thm_rate(C171,$F$3,$F$4,$F$5,$F$6,$F$7,$F$8,$F$9)</f>
        <v>46.089650358542961</v>
      </c>
      <c r="R171" s="2" cm="1">
        <f t="array" aca="1" ref="R171" ca="1">thm_cum($C171,$F$3,$F$4,$F$5,$F$6,$F$7,$F$8,$F$9)*$P$3/thm_cum($P$2,$F$3,$F$4,$F$5,$F$6,$F$7,$F$8,$F$9)</f>
        <v>298.55663647166358</v>
      </c>
    </row>
    <row r="172" spans="2:18" x14ac:dyDescent="0.25">
      <c r="B172" s="6" cm="1">
        <f t="array" ref="B172">B171+log_interval</f>
        <v>8.0590478254791496</v>
      </c>
      <c r="C172" s="8">
        <f t="shared" si="12"/>
        <v>3162.2776601683468</v>
      </c>
      <c r="D172" s="6">
        <f ca="1"/>
        <v>43.656857296107987</v>
      </c>
      <c r="E172" s="7">
        <f ca="1"/>
        <v>3.0008130740822561E-4</v>
      </c>
      <c r="F172" s="7">
        <f ca="1"/>
        <v>0.79</v>
      </c>
      <c r="G172" s="8">
        <f ca="1"/>
        <v>328.60141083956114</v>
      </c>
      <c r="H172" s="20">
        <f t="shared" ca="1" si="11"/>
        <v>290.77957130711542</v>
      </c>
      <c r="I172" s="2"/>
      <c r="J172" s="2" cm="1">
        <f t="array" aca="1" ref="J172" ca="1">thm_rate($C172,qi,Di,bi,bf,telf,bterm,tterm)</f>
        <v>43.656857296107987</v>
      </c>
      <c r="K172" s="2" cm="1">
        <f t="array" aca="1" ref="K172" ca="1">thm_D($C172,qi,Di,bi,bf,telf,bterm,tterm)</f>
        <v>3.0008130740822561E-4</v>
      </c>
      <c r="L172" s="3" cm="1">
        <f t="array" aca="1" ref="L172" ca="1">thm_D_eff(C172,qi,Di,bi,bf,telf,bterm,tterm)</f>
        <v>9.9780599010782733E-2</v>
      </c>
      <c r="M172" s="2" cm="1">
        <f t="array" aca="1" ref="M172" ca="1">thm_b(C172,qi,Di,bi,bf,telf,bterm,tterm)</f>
        <v>0.79</v>
      </c>
      <c r="N172" s="2" cm="1">
        <f t="array" aca="1" ref="N172" ca="1">thm_monthly_vol(C172,qi,Di,bi,bf,telf,bterm,tterm)</f>
        <v>1.3349073341867097</v>
      </c>
      <c r="O172" s="2" cm="1">
        <f t="array" aca="1" ref="O172" ca="1">thm_cum($C172,qi,Di,bi,bf,telf,bterm,tterm)</f>
        <v>328.60141083956114</v>
      </c>
      <c r="Q172" cm="1">
        <f t="array" aca="1" ref="Q172" ca="1">thm_rate(C172,$F$3,$F$4,$F$5,$F$6,$F$7,$F$8,$F$9)</f>
        <v>43.656857296107994</v>
      </c>
      <c r="R172" s="2" cm="1">
        <f t="array" aca="1" ref="R172" ca="1">thm_cum($C172,$F$3,$F$4,$F$5,$F$6,$F$7,$F$8,$F$9)*$P$3/thm_cum($P$2,$F$3,$F$4,$F$5,$F$6,$F$7,$F$8,$F$9)</f>
        <v>306.44250406680891</v>
      </c>
    </row>
    <row r="173" spans="2:18" x14ac:dyDescent="0.25">
      <c r="B173" s="6" cm="1">
        <f t="array" ref="B173">B172+log_interval</f>
        <v>8.1166124528040005</v>
      </c>
      <c r="C173" s="8">
        <f t="shared" si="12"/>
        <v>3349.6543915782413</v>
      </c>
      <c r="D173" s="6">
        <f ca="1"/>
        <v>41.31993861145952</v>
      </c>
      <c r="E173" s="7">
        <f ca="1"/>
        <v>2.8731852621956868E-4</v>
      </c>
      <c r="F173" s="7">
        <f ca="1"/>
        <v>0.79</v>
      </c>
      <c r="G173" s="8">
        <f ca="1"/>
        <v>336.55915479713275</v>
      </c>
      <c r="H173" s="20">
        <f t="shared" ca="1" si="11"/>
        <v>297.82138336337664</v>
      </c>
      <c r="I173" s="2"/>
      <c r="J173" s="2" cm="1">
        <f t="array" aca="1" ref="J173" ca="1">thm_rate($C173,qi,Di,bi,bf,telf,bterm,tterm)</f>
        <v>41.31993861145952</v>
      </c>
      <c r="K173" s="2" cm="1">
        <f t="array" aca="1" ref="K173" ca="1">thm_D($C173,qi,Di,bi,bf,telf,bterm,tterm)</f>
        <v>2.8731852621956868E-4</v>
      </c>
      <c r="L173" s="3" cm="1">
        <f t="array" aca="1" ref="L173" ca="1">thm_D_eff(C173,qi,Di,bi,bf,telf,bterm,tterm)</f>
        <v>9.5903654077870715E-2</v>
      </c>
      <c r="M173" s="2" cm="1">
        <f t="array" aca="1" ref="M173" ca="1">thm_b(C173,qi,Di,bi,bf,telf,bterm,tterm)</f>
        <v>0.79</v>
      </c>
      <c r="N173" s="2" cm="1">
        <f t="array" aca="1" ref="N173" ca="1">thm_monthly_vol(C173,qi,Di,bi,bf,telf,bterm,tterm)</f>
        <v>1.2632038386449835</v>
      </c>
      <c r="O173" s="2" cm="1">
        <f t="array" aca="1" ref="O173" ca="1">thm_cum($C173,qi,Di,bi,bf,telf,bterm,tterm)</f>
        <v>336.55915479713275</v>
      </c>
      <c r="Q173" cm="1">
        <f t="array" aca="1" ref="Q173" ca="1">thm_rate(C173,$F$3,$F$4,$F$5,$F$6,$F$7,$F$8,$F$9)</f>
        <v>41.319938611459527</v>
      </c>
      <c r="R173" s="2" cm="1">
        <f t="array" aca="1" ref="R173" ca="1">thm_cum($C173,$F$3,$F$4,$F$5,$F$6,$F$7,$F$8,$F$9)*$P$3/thm_cum($P$2,$F$3,$F$4,$F$5,$F$6,$F$7,$F$8,$F$9)</f>
        <v>314.35159748959956</v>
      </c>
    </row>
    <row r="174" spans="2:18" x14ac:dyDescent="0.25">
      <c r="B174" s="6" cm="1">
        <f t="array" ref="B174">B173+log_interval</f>
        <v>8.1741770801288514</v>
      </c>
      <c r="C174" s="8">
        <f t="shared" si="12"/>
        <v>3548.1338923357162</v>
      </c>
      <c r="D174" s="6">
        <f ca="1"/>
        <v>39.078231086482837</v>
      </c>
      <c r="E174" s="7">
        <f ca="1"/>
        <v>2.7493248727131008E-4</v>
      </c>
      <c r="F174" s="7">
        <f ca="1"/>
        <v>0.79</v>
      </c>
      <c r="G174" s="8">
        <f ca="1"/>
        <v>344.53414735504907</v>
      </c>
      <c r="H174" s="20">
        <f t="shared" ca="1" si="11"/>
        <v>304.87845871568106</v>
      </c>
      <c r="I174" s="2"/>
      <c r="J174" s="2" cm="1">
        <f t="array" aca="1" ref="J174" ca="1">thm_rate($C174,qi,Di,bi,bf,telf,bterm,tterm)</f>
        <v>39.078231086482837</v>
      </c>
      <c r="K174" s="2" cm="1">
        <f t="array" aca="1" ref="K174" ca="1">thm_D($C174,qi,Di,bi,bf,telf,bterm,tterm)</f>
        <v>2.7493248727131008E-4</v>
      </c>
      <c r="L174" s="3" cm="1">
        <f t="array" aca="1" ref="L174" ca="1">thm_D_eff(C174,qi,Di,bi,bf,telf,bterm,tterm)</f>
        <v>9.2112480795518259E-2</v>
      </c>
      <c r="M174" s="2" cm="1">
        <f t="array" aca="1" ref="M174" ca="1">thm_b(C174,qi,Di,bi,bf,telf,bterm,tterm)</f>
        <v>0.79</v>
      </c>
      <c r="N174" s="2" cm="1">
        <f t="array" aca="1" ref="N174" ca="1">thm_monthly_vol(C174,qi,Di,bi,bf,telf,bterm,tterm)</f>
        <v>1.1944454284283665</v>
      </c>
      <c r="O174" s="2" cm="1">
        <f t="array" aca="1" ref="O174" ca="1">thm_cum($C174,qi,Di,bi,bf,telf,bterm,tterm)</f>
        <v>344.53414735504907</v>
      </c>
      <c r="Q174" cm="1">
        <f t="array" aca="1" ref="Q174" ca="1">thm_rate(C174,$F$3,$F$4,$F$5,$F$6,$F$7,$F$8,$F$9)</f>
        <v>39.078231086482845</v>
      </c>
      <c r="R174" s="2" cm="1">
        <f t="array" aca="1" ref="R174" ca="1">thm_cum($C174,$F$3,$F$4,$F$5,$F$6,$F$7,$F$8,$F$9)*$P$3/thm_cum($P$2,$F$3,$F$4,$F$5,$F$6,$F$7,$F$8,$F$9)</f>
        <v>322.27783406153708</v>
      </c>
    </row>
    <row r="175" spans="2:18" x14ac:dyDescent="0.25">
      <c r="B175" s="6" cm="1">
        <f t="array" ref="B175">B174+log_interval</f>
        <v>8.2317417074537023</v>
      </c>
      <c r="C175" s="8">
        <f t="shared" si="12"/>
        <v>3758.3740428844003</v>
      </c>
      <c r="D175" s="6">
        <f ca="1"/>
        <v>36.930751692095669</v>
      </c>
      <c r="E175" s="7">
        <f ca="1"/>
        <v>2.6292636006728043E-4</v>
      </c>
      <c r="F175" s="7">
        <f ca="1"/>
        <v>0.79</v>
      </c>
      <c r="G175" s="8">
        <f ca="1"/>
        <v>352.52041117283545</v>
      </c>
      <c r="H175" s="20">
        <f t="shared" ca="1" si="11"/>
        <v>311.94550801211665</v>
      </c>
      <c r="I175" s="2"/>
      <c r="J175" s="2" cm="1">
        <f t="array" aca="1" ref="J175" ca="1">thm_rate($C175,qi,Di,bi,bf,telf,bterm,tterm)</f>
        <v>36.930751692095669</v>
      </c>
      <c r="K175" s="2" cm="1">
        <f t="array" aca="1" ref="K175" ca="1">thm_D($C175,qi,Di,bi,bf,telf,bterm,tterm)</f>
        <v>2.6292636006728043E-4</v>
      </c>
      <c r="L175" s="3" cm="1">
        <f t="array" aca="1" ref="L175" ca="1">thm_D_eff(C175,qi,Di,bi,bf,telf,bterm,tterm)</f>
        <v>8.8410344433806132E-2</v>
      </c>
      <c r="M175" s="2" cm="1">
        <f t="array" aca="1" ref="M175" ca="1">thm_b(C175,qi,Di,bi,bf,telf,bterm,tterm)</f>
        <v>0.79</v>
      </c>
      <c r="N175" s="2" cm="1">
        <f t="array" aca="1" ref="N175" ca="1">thm_monthly_vol(C175,qi,Di,bi,bf,telf,bterm,tterm)</f>
        <v>1.1285992482422671</v>
      </c>
      <c r="O175" s="2" cm="1">
        <f t="array" aca="1" ref="O175" ca="1">thm_cum($C175,qi,Di,bi,bf,telf,bterm,tterm)</f>
        <v>352.52041117283545</v>
      </c>
      <c r="Q175" cm="1">
        <f t="array" aca="1" ref="Q175" ca="1">thm_rate(C175,$F$3,$F$4,$F$5,$F$6,$F$7,$F$8,$F$9)</f>
        <v>36.930751692095683</v>
      </c>
      <c r="R175" s="2" cm="1">
        <f t="array" aca="1" ref="R175" ca="1">thm_cum($C175,$F$3,$F$4,$F$5,$F$6,$F$7,$F$8,$F$9)*$P$3/thm_cum($P$2,$F$3,$F$4,$F$5,$F$6,$F$7,$F$8,$F$9)</f>
        <v>330.21527298526945</v>
      </c>
    </row>
    <row r="176" spans="2:18" x14ac:dyDescent="0.25">
      <c r="B176" s="6" cm="1">
        <f t="array" ref="B176">B175+log_interval</f>
        <v>8.2893063347785532</v>
      </c>
      <c r="C176" s="8">
        <f t="shared" si="12"/>
        <v>3981.0717055349273</v>
      </c>
      <c r="D176" s="6">
        <f ca="1"/>
        <v>34.876225373213487</v>
      </c>
      <c r="E176" s="7">
        <f ca="1"/>
        <v>2.5130190354339012E-4</v>
      </c>
      <c r="F176" s="7">
        <f ca="1"/>
        <v>0.79</v>
      </c>
      <c r="G176" s="8">
        <f ca="1"/>
        <v>360.51212795207243</v>
      </c>
      <c r="H176" s="20">
        <f t="shared" ca="1" si="11"/>
        <v>319.01738263717419</v>
      </c>
      <c r="I176" s="2"/>
      <c r="J176" s="2" cm="1">
        <f t="array" aca="1" ref="J176" ca="1">thm_rate($C176,qi,Di,bi,bf,telf,bterm,tterm)</f>
        <v>34.876225373213487</v>
      </c>
      <c r="K176" s="2" cm="1">
        <f t="array" aca="1" ref="K176" ca="1">thm_D($C176,qi,Di,bi,bf,telf,bterm,tterm)</f>
        <v>2.5130190354339012E-4</v>
      </c>
      <c r="L176" s="3" cm="1">
        <f t="array" aca="1" ref="L176" ca="1">thm_D_eff(C176,qi,Di,bi,bf,telf,bterm,tterm)</f>
        <v>8.4800069786805987E-2</v>
      </c>
      <c r="M176" s="2" cm="1">
        <f t="array" aca="1" ref="M176" ca="1">thm_b(C176,qi,Di,bi,bf,telf,bterm,tterm)</f>
        <v>0.79</v>
      </c>
      <c r="N176" s="2" cm="1">
        <f t="array" aca="1" ref="N176" ca="1">thm_monthly_vol(C176,qi,Di,bi,bf,telf,bterm,tterm)</f>
        <v>1.0656236107589621</v>
      </c>
      <c r="O176" s="2" cm="1">
        <f t="array" aca="1" ref="O176" ca="1">thm_cum($C176,qi,Di,bi,bf,telf,bterm,tterm)</f>
        <v>360.51212795207243</v>
      </c>
      <c r="Q176" cm="1">
        <f t="array" aca="1" ref="Q176" ca="1">thm_rate(C176,$F$3,$F$4,$F$5,$F$6,$F$7,$F$8,$F$9)</f>
        <v>34.876225373213487</v>
      </c>
      <c r="R176" s="2" cm="1">
        <f t="array" aca="1" ref="R176" ca="1">thm_cum($C176,$F$3,$F$4,$F$5,$F$6,$F$7,$F$8,$F$9)*$P$3/thm_cum($P$2,$F$3,$F$4,$F$5,$F$6,$F$7,$F$8,$F$9)</f>
        <v>338.15813153317839</v>
      </c>
    </row>
    <row r="177" spans="2:18" x14ac:dyDescent="0.25">
      <c r="B177" s="6" cm="1">
        <f t="array" ref="B177">B176+log_interval</f>
        <v>8.3468709621034041</v>
      </c>
      <c r="C177" s="8">
        <f t="shared" si="12"/>
        <v>4216.965034285774</v>
      </c>
      <c r="D177" s="6">
        <f ca="1"/>
        <v>32.913113338474673</v>
      </c>
      <c r="E177" s="7">
        <f ca="1"/>
        <v>2.4005954313877938E-4</v>
      </c>
      <c r="F177" s="7">
        <f ca="1"/>
        <v>0.79</v>
      </c>
      <c r="G177" s="8">
        <f ca="1"/>
        <v>368.50365278371441</v>
      </c>
      <c r="H177" s="20">
        <f t="shared" ca="1" si="11"/>
        <v>326.08908740769817</v>
      </c>
      <c r="I177" s="2"/>
      <c r="J177" s="2" cm="1">
        <f t="array" aca="1" ref="J177" ca="1">thm_rate($C177,qi,Di,bi,bf,telf,bterm,tterm)</f>
        <v>32.913113338474673</v>
      </c>
      <c r="K177" s="2" cm="1">
        <f t="array" aca="1" ref="K177" ca="1">thm_D($C177,qi,Di,bi,bf,telf,bterm,tterm)</f>
        <v>2.4005954313877938E-4</v>
      </c>
      <c r="L177" s="3" cm="1">
        <f t="array" aca="1" ref="L177" ca="1">thm_D_eff(C177,qi,Di,bi,bf,telf,bterm,tterm)</f>
        <v>8.1284045590023002E-2</v>
      </c>
      <c r="M177" s="2" cm="1">
        <f t="array" aca="1" ref="M177" ca="1">thm_b(C177,qi,Di,bi,bf,telf,bterm,tterm)</f>
        <v>0.79</v>
      </c>
      <c r="N177" s="2" cm="1">
        <f t="array" aca="1" ref="N177" ca="1">thm_monthly_vol(C177,qi,Di,bi,bf,telf,bterm,tterm)</f>
        <v>1.005468875556744</v>
      </c>
      <c r="O177" s="2" cm="1">
        <f t="array" aca="1" ref="O177" ca="1">thm_cum($C177,qi,Di,bi,bf,telf,bterm,tterm)</f>
        <v>368.50365278371441</v>
      </c>
      <c r="Q177" cm="1">
        <f t="array" aca="1" ref="Q177" ca="1">thm_rate(C177,$F$3,$F$4,$F$5,$F$6,$F$7,$F$8,$F$9)</f>
        <v>32.91311333847468</v>
      </c>
      <c r="R177" s="2" cm="1">
        <f t="array" aca="1" ref="R177" ca="1">thm_cum($C177,$F$3,$F$4,$F$5,$F$6,$F$7,$F$8,$F$9)*$P$3/thm_cum($P$2,$F$3,$F$4,$F$5,$F$6,$F$7,$F$8,$F$9)</f>
        <v>346.10079930698475</v>
      </c>
    </row>
    <row r="178" spans="2:18" x14ac:dyDescent="0.25">
      <c r="B178" s="6" cm="1">
        <f t="array" ref="B178">B177+log_interval</f>
        <v>8.404435589428255</v>
      </c>
      <c r="C178" s="8">
        <f t="shared" si="12"/>
        <v>4466.8359215095788</v>
      </c>
      <c r="D178" s="6">
        <f ca="1"/>
        <v>31.039641452313095</v>
      </c>
      <c r="E178" s="7">
        <f ca="1"/>
        <v>2.2919845325373458E-4</v>
      </c>
      <c r="F178" s="7">
        <f ca="1"/>
        <v>0.79</v>
      </c>
      <c r="G178" s="8">
        <f ca="1"/>
        <v>376.48952656594253</v>
      </c>
      <c r="H178" s="20">
        <f t="shared" ca="1" si="11"/>
        <v>333.15579156145117</v>
      </c>
      <c r="I178" s="2"/>
      <c r="J178" s="2" cm="1">
        <f t="array" aca="1" ref="J178" ca="1">thm_rate($C178,qi,Di,bi,bf,telf,bterm,tterm)</f>
        <v>31.039641452313095</v>
      </c>
      <c r="K178" s="2" cm="1">
        <f t="array" aca="1" ref="K178" ca="1">thm_D($C178,qi,Di,bi,bf,telf,bterm,tterm)</f>
        <v>2.2919845325373458E-4</v>
      </c>
      <c r="L178" s="3" cm="1">
        <f t="array" aca="1" ref="L178" ca="1">thm_D_eff(C178,qi,Di,bi,bf,telf,bterm,tterm)</f>
        <v>7.786423258816233E-2</v>
      </c>
      <c r="M178" s="2" cm="1">
        <f t="array" aca="1" ref="M178" ca="1">thm_b(C178,qi,Di,bi,bf,telf,bterm,tterm)</f>
        <v>0.79</v>
      </c>
      <c r="N178" s="2" cm="1">
        <f t="array" aca="1" ref="N178" ca="1">thm_monthly_vol(C178,qi,Di,bi,bf,telf,bterm,tterm)</f>
        <v>0.94807832826484173</v>
      </c>
      <c r="O178" s="2" cm="1">
        <f t="array" aca="1" ref="O178" ca="1">thm_cum($C178,qi,Di,bi,bf,telf,bterm,tterm)</f>
        <v>376.48952656594253</v>
      </c>
      <c r="Q178" cm="1">
        <f t="array" aca="1" ref="Q178" ca="1">thm_rate(C178,$F$3,$F$4,$F$5,$F$6,$F$7,$F$8,$F$9)</f>
        <v>31.039641452313106</v>
      </c>
      <c r="R178" s="2" cm="1">
        <f t="array" aca="1" ref="R178" ca="1">thm_cum($C178,$F$3,$F$4,$F$5,$F$6,$F$7,$F$8,$F$9)*$P$3/thm_cum($P$2,$F$3,$F$4,$F$5,$F$6,$F$7,$F$8,$F$9)</f>
        <v>354.03785057968366</v>
      </c>
    </row>
    <row r="179" spans="2:18" x14ac:dyDescent="0.25">
      <c r="B179" s="6" cm="1">
        <f t="array" ref="B179">B178+log_interval</f>
        <v>8.4620002167531059</v>
      </c>
      <c r="C179" s="8">
        <f t="shared" si="12"/>
        <v>4731.5125896147483</v>
      </c>
      <c r="D179" s="6">
        <f ca="1"/>
        <v>29.253813530570355</v>
      </c>
      <c r="E179" s="7">
        <f ca="1"/>
        <v>2.1891248624311639E-4</v>
      </c>
      <c r="F179" s="7">
        <f ca="1"/>
        <v>0</v>
      </c>
      <c r="G179" s="8">
        <f ca="1"/>
        <v>384.46448650124006</v>
      </c>
      <c r="H179" s="20">
        <f t="shared" ca="1" si="11"/>
        <v>340.2128380459821</v>
      </c>
      <c r="I179" s="2"/>
      <c r="J179" s="2" cm="1">
        <f t="array" aca="1" ref="J179" ca="1">thm_rate($C179,qi,Di,bi,bf,telf,bterm,tterm)</f>
        <v>29.253813530570355</v>
      </c>
      <c r="K179" s="2" cm="1">
        <f t="array" aca="1" ref="K179" ca="1">thm_D($C179,qi,Di,bi,bf,telf,bterm,tterm)</f>
        <v>2.1891248624311639E-4</v>
      </c>
      <c r="L179" s="3" cm="1">
        <f t="array" aca="1" ref="L179" ca="1">thm_D_eff(C179,qi,Di,bi,bf,telf,bterm,tterm)</f>
        <v>7.684468398841271E-2</v>
      </c>
      <c r="M179" s="2" cm="1">
        <f t="array" aca="1" ref="M179" ca="1">thm_b(C179,qi,Di,bi,bf,telf,bterm,tterm)</f>
        <v>0</v>
      </c>
      <c r="N179" s="2" cm="1">
        <f t="array" aca="1" ref="N179" ca="1">thm_monthly_vol(C179,qi,Di,bi,bf,telf,bterm,tterm)</f>
        <v>0.89338902337664194</v>
      </c>
      <c r="O179" s="2" cm="1">
        <f t="array" aca="1" ref="O179" ca="1">thm_cum($C179,qi,Di,bi,bf,telf,bterm,tterm)</f>
        <v>384.46448650124006</v>
      </c>
      <c r="Q179" cm="1">
        <f t="array" aca="1" ref="Q179" ca="1">thm_rate(C179,$F$3,$F$4,$F$5,$F$6,$F$7,$F$8,$F$9)</f>
        <v>29.253813530570355</v>
      </c>
      <c r="R179" s="2" cm="1">
        <f t="array" aca="1" ref="R179" ca="1">thm_cum($C179,$F$3,$F$4,$F$5,$F$6,$F$7,$F$8,$F$9)*$P$3/thm_cum($P$2,$F$3,$F$4,$F$5,$F$6,$F$7,$F$8,$F$9)</f>
        <v>361.96405472844447</v>
      </c>
    </row>
    <row r="180" spans="2:18" x14ac:dyDescent="0.25">
      <c r="B180" s="6" cm="1">
        <f t="array" ref="B180">B179+log_interval</f>
        <v>8.5195648440779568</v>
      </c>
      <c r="C180" s="8">
        <f t="shared" si="12"/>
        <v>5011.8723362726614</v>
      </c>
      <c r="D180" s="6">
        <f ca="1"/>
        <v>27.512369212958522</v>
      </c>
      <c r="E180" s="7">
        <f ca="1"/>
        <v>2.1891248624311639E-4</v>
      </c>
      <c r="F180" s="7">
        <f ca="1"/>
        <v>0</v>
      </c>
      <c r="G180" s="8">
        <f ca="1"/>
        <v>392.41946589733465</v>
      </c>
      <c r="H180" s="20">
        <f t="shared" ca="1" si="11"/>
        <v>347.25220374025389</v>
      </c>
      <c r="I180" s="2"/>
      <c r="J180" s="2" cm="1">
        <f t="array" aca="1" ref="J180" ca="1">thm_rate($C180,qi,Di,bi,bf,telf,bterm,tterm)</f>
        <v>27.512369212958522</v>
      </c>
      <c r="K180" s="2" cm="1">
        <f t="array" aca="1" ref="K180" ca="1">thm_D($C180,qi,Di,bi,bf,telf,bterm,tterm)</f>
        <v>2.1891248624311639E-4</v>
      </c>
      <c r="L180" s="3" cm="1">
        <f t="array" aca="1" ref="L180" ca="1">thm_D_eff(C180,qi,Di,bi,bf,telf,bterm,tterm)</f>
        <v>7.684468398841271E-2</v>
      </c>
      <c r="M180" s="2" cm="1">
        <f t="array" aca="1" ref="M180" ca="1">thm_b(C180,qi,Di,bi,bf,telf,bterm,tterm)</f>
        <v>0</v>
      </c>
      <c r="N180" s="2" cm="1">
        <f t="array" aca="1" ref="N180" ca="1">thm_monthly_vol(C180,qi,Di,bi,bf,telf,bterm,tterm)</f>
        <v>0.84020383091279882</v>
      </c>
      <c r="O180" s="2" cm="1">
        <f t="array" aca="1" ref="O180" ca="1">thm_cum($C180,qi,Di,bi,bf,telf,bterm,tterm)</f>
        <v>392.41946589733465</v>
      </c>
      <c r="Q180" cm="1">
        <f t="array" aca="1" ref="Q180" ca="1">thm_rate(C180,$F$3,$F$4,$F$5,$F$6,$F$7,$F$8,$F$9)</f>
        <v>27.512369212958522</v>
      </c>
      <c r="R180" s="2" cm="1">
        <f t="array" aca="1" ref="R180" ca="1">thm_cum($C180,$F$3,$F$4,$F$5,$F$6,$F$7,$F$8,$F$9)*$P$3/thm_cum($P$2,$F$3,$F$4,$F$5,$F$6,$F$7,$F$8,$F$9)</f>
        <v>369.87040049120588</v>
      </c>
    </row>
    <row r="181" spans="2:18" x14ac:dyDescent="0.25">
      <c r="B181" s="6" cm="1">
        <f t="array" ref="B181">B180+log_interval</f>
        <v>8.5771294714028077</v>
      </c>
      <c r="C181" s="8">
        <f t="shared" si="12"/>
        <v>5308.8444423098172</v>
      </c>
      <c r="D181" s="6">
        <f ca="1"/>
        <v>25.780664965551402</v>
      </c>
      <c r="E181" s="7">
        <f ca="1"/>
        <v>2.1891248624311639E-4</v>
      </c>
      <c r="F181" s="7">
        <f ca="1"/>
        <v>0</v>
      </c>
      <c r="G181" s="8">
        <f ca="1"/>
        <v>400.32995230734213</v>
      </c>
      <c r="H181" s="20">
        <f t="shared" ca="1" si="11"/>
        <v>354.25219756637841</v>
      </c>
      <c r="I181" s="2"/>
      <c r="J181" s="2" cm="1">
        <f t="array" aca="1" ref="J181" ca="1">thm_rate($C181,qi,Di,bi,bf,telf,bterm,tterm)</f>
        <v>25.780664965551402</v>
      </c>
      <c r="K181" s="2" cm="1">
        <f t="array" aca="1" ref="K181" ca="1">thm_D($C181,qi,Di,bi,bf,telf,bterm,tterm)</f>
        <v>2.1891248624311639E-4</v>
      </c>
      <c r="L181" s="3" cm="1">
        <f t="array" aca="1" ref="L181" ca="1">thm_D_eff(C181,qi,Di,bi,bf,telf,bterm,tterm)</f>
        <v>7.684468398841271E-2</v>
      </c>
      <c r="M181" s="2" cm="1">
        <f t="array" aca="1" ref="M181" ca="1">thm_b(C181,qi,Di,bi,bf,telf,bterm,tterm)</f>
        <v>0</v>
      </c>
      <c r="N181" s="2" cm="1">
        <f t="array" aca="1" ref="N181" ca="1">thm_monthly_vol(C181,qi,Di,bi,bf,telf,bterm,tterm)</f>
        <v>0.78731908909298909</v>
      </c>
      <c r="O181" s="2" cm="1">
        <f t="array" aca="1" ref="O181" ca="1">thm_cum($C181,qi,Di,bi,bf,telf,bterm,tterm)</f>
        <v>400.32995230734213</v>
      </c>
      <c r="Q181" cm="1">
        <f t="array" aca="1" ref="Q181" ca="1">thm_rate(C181,$F$3,$F$4,$F$5,$F$6,$F$7,$F$8,$F$9)</f>
        <v>25.780664965551402</v>
      </c>
      <c r="R181" s="2" cm="1">
        <f t="array" aca="1" ref="R181" ca="1">thm_cum($C181,$F$3,$F$4,$F$5,$F$6,$F$7,$F$8,$F$9)*$P$3/thm_cum($P$2,$F$3,$F$4,$F$5,$F$6,$F$7,$F$8,$F$9)</f>
        <v>377.73252528059862</v>
      </c>
    </row>
    <row r="182" spans="2:18" x14ac:dyDescent="0.25">
      <c r="B182" s="6" cm="1">
        <f t="array" ref="B182">B181+log_interval</f>
        <v>8.6346940987276586</v>
      </c>
      <c r="C182" s="8">
        <f t="shared" si="12"/>
        <v>5623.4132519034192</v>
      </c>
      <c r="D182" s="6">
        <f ca="1"/>
        <v>24.065078165038752</v>
      </c>
      <c r="E182" s="7">
        <f ca="1"/>
        <v>2.1891248624311639E-4</v>
      </c>
      <c r="F182" s="7">
        <f ca="1"/>
        <v>0</v>
      </c>
      <c r="G182" s="8">
        <f ca="1"/>
        <v>408.16681364839593</v>
      </c>
      <c r="H182" s="20">
        <f t="shared" ca="1" si="11"/>
        <v>361.1870405280161</v>
      </c>
      <c r="I182" s="2"/>
      <c r="J182" s="2" cm="1">
        <f t="array" aca="1" ref="J182" ca="1">thm_rate($C182,qi,Di,bi,bf,telf,bterm,tterm)</f>
        <v>24.065078165038752</v>
      </c>
      <c r="K182" s="2" cm="1">
        <f t="array" aca="1" ref="K182" ca="1">thm_D($C182,qi,Di,bi,bf,telf,bterm,tterm)</f>
        <v>2.1891248624311639E-4</v>
      </c>
      <c r="L182" s="3" cm="1">
        <f t="array" aca="1" ref="L182" ca="1">thm_D_eff(C182,qi,Di,bi,bf,telf,bterm,tterm)</f>
        <v>7.684468398841271E-2</v>
      </c>
      <c r="M182" s="2" cm="1">
        <f t="array" aca="1" ref="M182" ca="1">thm_b(C182,qi,Di,bi,bf,telf,bterm,tterm)</f>
        <v>0</v>
      </c>
      <c r="N182" s="2" cm="1">
        <f t="array" aca="1" ref="N182" ca="1">thm_monthly_vol(C182,qi,Di,bi,bf,telf,bterm,tterm)</f>
        <v>0.73492656008551194</v>
      </c>
      <c r="O182" s="2" cm="1">
        <f t="array" aca="1" ref="O182" ca="1">thm_cum($C182,qi,Di,bi,bf,telf,bterm,tterm)</f>
        <v>408.16681364839593</v>
      </c>
      <c r="Q182" cm="1">
        <f t="array" aca="1" ref="Q182" ca="1">thm_rate(C182,$F$3,$F$4,$F$5,$F$6,$F$7,$F$8,$F$9)</f>
        <v>24.065078165038752</v>
      </c>
      <c r="R182" s="2" cm="1">
        <f t="array" aca="1" ref="R182" ca="1">thm_cum($C182,$F$3,$F$4,$F$5,$F$6,$F$7,$F$8,$F$9)*$P$3/thm_cum($P$2,$F$3,$F$4,$F$5,$F$6,$F$7,$F$8,$F$9)</f>
        <v>385.52147511591915</v>
      </c>
    </row>
    <row r="183" spans="2:18" x14ac:dyDescent="0.25">
      <c r="B183" s="6" cm="1">
        <f t="array" ref="B183">B182+log_interval</f>
        <v>8.6922587260525095</v>
      </c>
      <c r="C183" s="8">
        <f t="shared" si="12"/>
        <v>5956.621435290027</v>
      </c>
      <c r="D183" s="6">
        <f ca="1"/>
        <v>22.372182153755119</v>
      </c>
      <c r="E183" s="7">
        <f ca="1"/>
        <v>2.1891248624311639E-4</v>
      </c>
      <c r="F183" s="7">
        <f ca="1"/>
        <v>0</v>
      </c>
      <c r="G183" s="8">
        <f ca="1"/>
        <v>415.90002265961499</v>
      </c>
      <c r="H183" s="20">
        <f t="shared" ca="1" si="11"/>
        <v>368.03016148530406</v>
      </c>
      <c r="I183" s="2"/>
      <c r="J183" s="2" cm="1">
        <f t="array" aca="1" ref="J183" ca="1">thm_rate($C183,qi,Di,bi,bf,telf,bterm,tterm)</f>
        <v>22.372182153755119</v>
      </c>
      <c r="K183" s="2" cm="1">
        <f t="array" aca="1" ref="K183" ca="1">thm_D($C183,qi,Di,bi,bf,telf,bterm,tterm)</f>
        <v>2.1891248624311639E-4</v>
      </c>
      <c r="L183" s="3" cm="1">
        <f t="array" aca="1" ref="L183" ca="1">thm_D_eff(C183,qi,Di,bi,bf,telf,bterm,tterm)</f>
        <v>7.684468398841271E-2</v>
      </c>
      <c r="M183" s="2" cm="1">
        <f t="array" aca="1" ref="M183" ca="1">thm_b(C183,qi,Di,bi,bf,telf,bterm,tterm)</f>
        <v>0</v>
      </c>
      <c r="N183" s="2" cm="1">
        <f t="array" aca="1" ref="N183" ca="1">thm_monthly_vol(C183,qi,Di,bi,bf,telf,bterm,tterm)</f>
        <v>0.68322698804911397</v>
      </c>
      <c r="O183" s="2" cm="1">
        <f t="array" aca="1" ref="O183" ca="1">thm_cum($C183,qi,Di,bi,bf,telf,bterm,tterm)</f>
        <v>415.90002265961499</v>
      </c>
      <c r="Q183" cm="1">
        <f t="array" aca="1" ref="Q183" ca="1">thm_rate(C183,$F$3,$F$4,$F$5,$F$6,$F$7,$F$8,$F$9)</f>
        <v>22.372182153755119</v>
      </c>
      <c r="R183" s="2" cm="1">
        <f t="array" aca="1" ref="R183" ca="1">thm_cum($C183,$F$3,$F$4,$F$5,$F$6,$F$7,$F$8,$F$9)*$P$3/thm_cum($P$2,$F$3,$F$4,$F$5,$F$6,$F$7,$F$8,$F$9)</f>
        <v>393.20740631121754</v>
      </c>
    </row>
    <row r="184" spans="2:18" x14ac:dyDescent="0.25">
      <c r="B184" s="6" cm="1">
        <f t="array" ref="B184">B183+log_interval</f>
        <v>8.7498233533773604</v>
      </c>
      <c r="C184" s="8">
        <f t="shared" si="12"/>
        <v>6309.5734448018493</v>
      </c>
      <c r="D184" s="6">
        <f ca="1"/>
        <v>20.708675464589561</v>
      </c>
      <c r="E184" s="7">
        <f ca="1"/>
        <v>2.1891248624311639E-4</v>
      </c>
      <c r="F184" s="7">
        <f ca="1"/>
        <v>0</v>
      </c>
      <c r="G184" s="8">
        <f ca="1"/>
        <v>423.49898020522579</v>
      </c>
      <c r="H184" s="20">
        <f t="shared" ca="1" si="11"/>
        <v>374.75448324596908</v>
      </c>
      <c r="I184" s="2"/>
      <c r="J184" s="2" cm="1">
        <f t="array" aca="1" ref="J184" ca="1">thm_rate($C184,qi,Di,bi,bf,telf,bterm,tterm)</f>
        <v>20.708675464589561</v>
      </c>
      <c r="K184" s="2" cm="1">
        <f t="array" aca="1" ref="K184" ca="1">thm_D($C184,qi,Di,bi,bf,telf,bterm,tterm)</f>
        <v>2.1891248624311639E-4</v>
      </c>
      <c r="L184" s="3" cm="1">
        <f t="array" aca="1" ref="L184" ca="1">thm_D_eff(C184,qi,Di,bi,bf,telf,bterm,tterm)</f>
        <v>7.684468398841271E-2</v>
      </c>
      <c r="M184" s="2" cm="1">
        <f t="array" aca="1" ref="M184" ca="1">thm_b(C184,qi,Di,bi,bf,telf,bterm,tterm)</f>
        <v>0</v>
      </c>
      <c r="N184" s="2" cm="1">
        <f t="array" aca="1" ref="N184" ca="1">thm_monthly_vol(C184,qi,Di,bi,bf,telf,bterm,tterm)</f>
        <v>0.63242494035313257</v>
      </c>
      <c r="O184" s="2" cm="1">
        <f t="array" aca="1" ref="O184" ca="1">thm_cum($C184,qi,Di,bi,bf,telf,bterm,tterm)</f>
        <v>423.49898020522579</v>
      </c>
      <c r="Q184" cm="1">
        <f t="array" aca="1" ref="Q184" ca="1">thm_rate(C184,$F$3,$F$4,$F$5,$F$6,$F$7,$F$8,$F$9)</f>
        <v>20.708675464589561</v>
      </c>
      <c r="R184" s="2" cm="1">
        <f t="array" aca="1" ref="R184" ca="1">thm_cum($C184,$F$3,$F$4,$F$5,$F$6,$F$7,$F$8,$F$9)*$P$3/thm_cum($P$2,$F$3,$F$4,$F$5,$F$6,$F$7,$F$8,$F$9)</f>
        <v>400.75990680187113</v>
      </c>
    </row>
    <row r="185" spans="2:18" x14ac:dyDescent="0.25">
      <c r="B185" s="6" cm="1">
        <f t="array" ref="B185">B184+log_interval</f>
        <v>8.8073879807022113</v>
      </c>
      <c r="C185" s="8">
        <f t="shared" si="12"/>
        <v>6683.4391756860559</v>
      </c>
      <c r="D185" s="6">
        <f ca="1"/>
        <v>19.08130081097617</v>
      </c>
      <c r="E185" s="7">
        <f ca="1"/>
        <v>2.1891248624311639E-4</v>
      </c>
      <c r="F185" s="7">
        <f ca="1"/>
        <v>0</v>
      </c>
      <c r="G185" s="8">
        <f ca="1"/>
        <v>430.93288533115856</v>
      </c>
      <c r="H185" s="20">
        <f t="shared" ca="1" si="11"/>
        <v>381.33275002861507</v>
      </c>
      <c r="I185" s="2"/>
      <c r="J185" s="2" cm="1">
        <f t="array" aca="1" ref="J185" ca="1">thm_rate($C185,qi,Di,bi,bf,telf,bterm,tterm)</f>
        <v>19.08130081097617</v>
      </c>
      <c r="K185" s="2" cm="1">
        <f t="array" aca="1" ref="K185" ca="1">thm_D($C185,qi,Di,bi,bf,telf,bterm,tterm)</f>
        <v>2.1891248624311639E-4</v>
      </c>
      <c r="L185" s="3" cm="1">
        <f t="array" aca="1" ref="L185" ca="1">thm_D_eff(C185,qi,Di,bi,bf,telf,bterm,tterm)</f>
        <v>7.684468398841271E-2</v>
      </c>
      <c r="M185" s="2" cm="1">
        <f t="array" aca="1" ref="M185" ca="1">thm_b(C185,qi,Di,bi,bf,telf,bterm,tterm)</f>
        <v>0</v>
      </c>
      <c r="N185" s="2" cm="1">
        <f t="array" aca="1" ref="N185" ca="1">thm_monthly_vol(C185,qi,Di,bi,bf,telf,bterm,tterm)</f>
        <v>0.58272633360235204</v>
      </c>
      <c r="O185" s="2" cm="1">
        <f t="array" aca="1" ref="O185" ca="1">thm_cum($C185,qi,Di,bi,bf,telf,bterm,tterm)</f>
        <v>430.93288533115856</v>
      </c>
      <c r="Q185" cm="1">
        <f t="array" aca="1" ref="Q185" ca="1">thm_rate(C185,$F$3,$F$4,$F$5,$F$6,$F$7,$F$8,$F$9)</f>
        <v>19.08130081097617</v>
      </c>
      <c r="R185" s="2" cm="1">
        <f t="array" aca="1" ref="R185" ca="1">thm_cum($C185,$F$3,$F$4,$F$5,$F$6,$F$7,$F$8,$F$9)*$P$3/thm_cum($P$2,$F$3,$F$4,$F$5,$F$6,$F$7,$F$8,$F$9)</f>
        <v>408.14836393879892</v>
      </c>
    </row>
    <row r="186" spans="2:18" x14ac:dyDescent="0.25">
      <c r="B186" s="6" cm="1">
        <f t="array" ref="B186">B185+log_interval</f>
        <v>8.8649526080270622</v>
      </c>
      <c r="C186" s="8">
        <f t="shared" si="12"/>
        <v>7079.4578438412818</v>
      </c>
      <c r="D186" s="6">
        <f ca="1"/>
        <v>17.496754544446297</v>
      </c>
      <c r="E186" s="7">
        <f ca="1"/>
        <v>2.1891248624311639E-4</v>
      </c>
      <c r="F186" s="7">
        <f ca="1"/>
        <v>0</v>
      </c>
      <c r="G186" s="8">
        <f ca="1"/>
        <v>438.17114886615917</v>
      </c>
      <c r="H186" s="20">
        <f t="shared" ca="1" si="11"/>
        <v>387.7378934585775</v>
      </c>
      <c r="I186" s="2"/>
      <c r="J186" s="2" cm="1">
        <f t="array" aca="1" ref="J186" ca="1">thm_rate($C186,qi,Di,bi,bf,telf,bterm,tterm)</f>
        <v>17.496754544446297</v>
      </c>
      <c r="K186" s="2" cm="1">
        <f t="array" aca="1" ref="K186" ca="1">thm_D($C186,qi,Di,bi,bf,telf,bterm,tterm)</f>
        <v>2.1891248624311639E-4</v>
      </c>
      <c r="L186" s="3" cm="1">
        <f t="array" aca="1" ref="L186" ca="1">thm_D_eff(C186,qi,Di,bi,bf,telf,bterm,tterm)</f>
        <v>7.684468398841271E-2</v>
      </c>
      <c r="M186" s="2" cm="1">
        <f t="array" aca="1" ref="M186" ca="1">thm_b(C186,qi,Di,bi,bf,telf,bterm,tterm)</f>
        <v>0</v>
      </c>
      <c r="N186" s="2" cm="1">
        <f t="array" aca="1" ref="N186" ca="1">thm_monthly_vol(C186,qi,Di,bi,bf,telf,bterm,tterm)</f>
        <v>0.53433566854943138</v>
      </c>
      <c r="O186" s="2" cm="1">
        <f t="array" aca="1" ref="O186" ca="1">thm_cum($C186,qi,Di,bi,bf,telf,bterm,tterm)</f>
        <v>438.17114886615917</v>
      </c>
      <c r="Q186" cm="1">
        <f t="array" aca="1" ref="Q186" ca="1">thm_rate(C186,$F$3,$F$4,$F$5,$F$6,$F$7,$F$8,$F$9)</f>
        <v>17.496754544446297</v>
      </c>
      <c r="R186" s="2" cm="1">
        <f t="array" aca="1" ref="R186" ca="1">thm_cum($C186,$F$3,$F$4,$F$5,$F$6,$F$7,$F$8,$F$9)*$P$3/thm_cum($P$2,$F$3,$F$4,$F$5,$F$6,$F$7,$F$8,$F$9)</f>
        <v>415.34237556097833</v>
      </c>
    </row>
    <row r="187" spans="2:18" x14ac:dyDescent="0.25">
      <c r="B187" s="6" cm="1">
        <f t="array" ref="B187">B186+log_interval</f>
        <v>8.9225172353519131</v>
      </c>
      <c r="C187" s="8">
        <f t="shared" si="12"/>
        <v>7498.9420933244537</v>
      </c>
      <c r="D187" s="6">
        <f ca="1"/>
        <v>15.961587733673271</v>
      </c>
      <c r="E187" s="7">
        <f ca="1"/>
        <v>2.1891248624311639E-4</v>
      </c>
      <c r="F187" s="7">
        <f ca="1"/>
        <v>0</v>
      </c>
      <c r="G187" s="8">
        <f ca="1"/>
        <v>445.18384529622085</v>
      </c>
      <c r="H187" s="20">
        <f t="shared" ca="1" si="11"/>
        <v>393.94343243185926</v>
      </c>
      <c r="I187" s="2"/>
      <c r="J187" s="2" cm="1">
        <f t="array" aca="1" ref="J187" ca="1">thm_rate($C187,qi,Di,bi,bf,telf,bterm,tterm)</f>
        <v>15.961587733673271</v>
      </c>
      <c r="K187" s="2" cm="1">
        <f t="array" aca="1" ref="K187" ca="1">thm_D($C187,qi,Di,bi,bf,telf,bterm,tterm)</f>
        <v>2.1891248624311639E-4</v>
      </c>
      <c r="L187" s="3" cm="1">
        <f t="array" aca="1" ref="L187" ca="1">thm_D_eff(C187,qi,Di,bi,bf,telf,bterm,tterm)</f>
        <v>7.684468398841271E-2</v>
      </c>
      <c r="M187" s="2" cm="1">
        <f t="array" aca="1" ref="M187" ca="1">thm_b(C187,qi,Di,bi,bf,telf,bterm,tterm)</f>
        <v>0</v>
      </c>
      <c r="N187" s="2" cm="1">
        <f t="array" aca="1" ref="N187" ca="1">thm_monthly_vol(C187,qi,Di,bi,bf,telf,bterm,tterm)</f>
        <v>0.48745300913475376</v>
      </c>
      <c r="O187" s="2" cm="1">
        <f t="array" aca="1" ref="O187" ca="1">thm_cum($C187,qi,Di,bi,bf,telf,bterm,tterm)</f>
        <v>445.18384529622085</v>
      </c>
      <c r="Q187" cm="1">
        <f t="array" aca="1" ref="Q187" ca="1">thm_rate(C187,$F$3,$F$4,$F$5,$F$6,$F$7,$F$8,$F$9)</f>
        <v>15.961587733673271</v>
      </c>
      <c r="R187" s="2" cm="1">
        <f t="array" aca="1" ref="R187" ca="1">thm_cum($C187,$F$3,$F$4,$F$5,$F$6,$F$7,$F$8,$F$9)*$P$3/thm_cum($P$2,$F$3,$F$4,$F$5,$F$6,$F$7,$F$8,$F$9)</f>
        <v>422.31219910729317</v>
      </c>
    </row>
    <row r="188" spans="2:18" x14ac:dyDescent="0.25">
      <c r="B188" s="6" cm="1">
        <f t="array" ref="B188">B187+log_interval</f>
        <v>8.980081862676764</v>
      </c>
      <c r="C188" s="8">
        <f t="shared" si="12"/>
        <v>7943.2823472427026</v>
      </c>
      <c r="D188" s="6">
        <f ca="1"/>
        <v>14.482100511853144</v>
      </c>
      <c r="E188" s="7">
        <f ca="1"/>
        <v>2.1891248624311639E-4</v>
      </c>
      <c r="F188" s="7">
        <f ca="1"/>
        <v>0</v>
      </c>
      <c r="G188" s="8">
        <f ca="1"/>
        <v>451.9421953894954</v>
      </c>
      <c r="H188" s="20">
        <f t="shared" ca="1" si="11"/>
        <v>399.9239001901833</v>
      </c>
      <c r="I188" s="2"/>
      <c r="J188" s="2" cm="1">
        <f t="array" aca="1" ref="J188" ca="1">thm_rate($C188,qi,Di,bi,bf,telf,bterm,tterm)</f>
        <v>14.482100511853144</v>
      </c>
      <c r="K188" s="2" cm="1">
        <f t="array" aca="1" ref="K188" ca="1">thm_D($C188,qi,Di,bi,bf,telf,bterm,tterm)</f>
        <v>2.1891248624311639E-4</v>
      </c>
      <c r="L188" s="3" cm="1">
        <f t="array" aca="1" ref="L188" ca="1">thm_D_eff(C188,qi,Di,bi,bf,telf,bterm,tterm)</f>
        <v>7.684468398841271E-2</v>
      </c>
      <c r="M188" s="2" cm="1">
        <f t="array" aca="1" ref="M188" ca="1">thm_b(C188,qi,Di,bi,bf,telf,bterm,tterm)</f>
        <v>0</v>
      </c>
      <c r="N188" s="2" cm="1">
        <f t="array" aca="1" ref="N188" ca="1">thm_monthly_vol(C188,qi,Di,bi,bf,telf,bterm,tterm)</f>
        <v>0.44227075594756116</v>
      </c>
      <c r="O188" s="2" cm="1">
        <f t="array" aca="1" ref="O188" ca="1">thm_cum($C188,qi,Di,bi,bf,telf,bterm,tterm)</f>
        <v>451.9421953894954</v>
      </c>
      <c r="Q188" cm="1">
        <f t="array" aca="1" ref="Q188" ca="1">thm_rate(C188,$F$3,$F$4,$F$5,$F$6,$F$7,$F$8,$F$9)</f>
        <v>14.482100511853144</v>
      </c>
      <c r="R188" s="2" cm="1">
        <f t="array" aca="1" ref="R188" ca="1">thm_cum($C188,$F$3,$F$4,$F$5,$F$6,$F$7,$F$8,$F$9)*$P$3/thm_cum($P$2,$F$3,$F$4,$F$5,$F$6,$F$7,$F$8,$F$9)</f>
        <v>429.02923129086514</v>
      </c>
    </row>
    <row r="189" spans="2:18" x14ac:dyDescent="0.25">
      <c r="B189" s="6" cm="1">
        <f t="array" ref="B189">B188+log_interval</f>
        <v>9.0376464900016149</v>
      </c>
      <c r="C189" s="8">
        <f t="shared" si="12"/>
        <v>8413.9514164518296</v>
      </c>
      <c r="D189" s="6">
        <f ca="1"/>
        <v>13.064231856753104</v>
      </c>
      <c r="E189" s="7">
        <f ca="1"/>
        <v>2.1891248624311639E-4</v>
      </c>
      <c r="F189" s="7">
        <f ca="1"/>
        <v>0</v>
      </c>
      <c r="G189" s="8">
        <f ca="1"/>
        <v>458.41906968494061</v>
      </c>
      <c r="H189" s="20">
        <f t="shared" ca="1" si="11"/>
        <v>405.6552898583767</v>
      </c>
      <c r="I189" s="2"/>
      <c r="J189" s="2" cm="1">
        <f t="array" aca="1" ref="J189" ca="1">thm_rate($C189,qi,Di,bi,bf,telf,bterm,tterm)</f>
        <v>13.064231856753104</v>
      </c>
      <c r="K189" s="2" cm="1">
        <f t="array" aca="1" ref="K189" ca="1">thm_D($C189,qi,Di,bi,bf,telf,bterm,tterm)</f>
        <v>2.1891248624311639E-4</v>
      </c>
      <c r="L189" s="3" cm="1">
        <f t="array" aca="1" ref="L189" ca="1">thm_D_eff(C189,qi,Di,bi,bf,telf,bterm,tterm)</f>
        <v>7.684468398841271E-2</v>
      </c>
      <c r="M189" s="2" cm="1">
        <f t="array" aca="1" ref="M189" ca="1">thm_b(C189,qi,Di,bi,bf,telf,bterm,tterm)</f>
        <v>0</v>
      </c>
      <c r="N189" s="2" cm="1">
        <f t="array" aca="1" ref="N189" ca="1">thm_monthly_vol(C189,qi,Di,bi,bf,telf,bterm,tterm)</f>
        <v>0.39897028020425296</v>
      </c>
      <c r="O189" s="2" cm="1">
        <f t="array" aca="1" ref="O189" ca="1">thm_cum($C189,qi,Di,bi,bf,telf,bterm,tterm)</f>
        <v>458.41906968494061</v>
      </c>
      <c r="Q189" cm="1">
        <f t="array" aca="1" ref="Q189" ca="1">thm_rate(C189,$F$3,$F$4,$F$5,$F$6,$F$7,$F$8,$F$9)</f>
        <v>13.064231856753104</v>
      </c>
      <c r="R189" s="2" cm="1">
        <f t="array" aca="1" ref="R189" ca="1">thm_cum($C189,$F$3,$F$4,$F$5,$F$6,$F$7,$F$8,$F$9)*$P$3/thm_cum($P$2,$F$3,$F$4,$F$5,$F$6,$F$7,$F$8,$F$9)</f>
        <v>435.46650850956814</v>
      </c>
    </row>
    <row r="190" spans="2:18" x14ac:dyDescent="0.25">
      <c r="B190" s="6" cm="1">
        <f t="array" ref="B190">B189+log_interval</f>
        <v>9.0952111173264658</v>
      </c>
      <c r="C190" s="8">
        <f t="shared" si="12"/>
        <v>8912.5093813373242</v>
      </c>
      <c r="D190" s="6">
        <f ca="1"/>
        <v>11.713447486785169</v>
      </c>
      <c r="E190" s="7">
        <f ca="1"/>
        <v>2.1891248624311639E-4</v>
      </c>
      <c r="F190" s="7">
        <f ca="1"/>
        <v>0</v>
      </c>
      <c r="G190" s="8">
        <f ca="1"/>
        <v>464.58950058703084</v>
      </c>
      <c r="H190" s="20">
        <f t="shared" ca="1" si="11"/>
        <v>411.11550759726526</v>
      </c>
      <c r="I190" s="2"/>
      <c r="J190" s="2" cm="1">
        <f t="array" aca="1" ref="J190" ca="1">thm_rate($C190,qi,Di,bi,bf,telf,bterm,tterm)</f>
        <v>11.713447486785169</v>
      </c>
      <c r="K190" s="2" cm="1">
        <f t="array" aca="1" ref="K190" ca="1">thm_D($C190,qi,Di,bi,bf,telf,bterm,tterm)</f>
        <v>2.1891248624311639E-4</v>
      </c>
      <c r="L190" s="3" cm="1">
        <f t="array" aca="1" ref="L190" ca="1">thm_D_eff(C190,qi,Di,bi,bf,telf,bterm,tterm)</f>
        <v>7.684468398841271E-2</v>
      </c>
      <c r="M190" s="2" cm="1">
        <f t="array" aca="1" ref="M190" ca="1">thm_b(C190,qi,Di,bi,bf,telf,bterm,tterm)</f>
        <v>0</v>
      </c>
      <c r="N190" s="2" cm="1">
        <f t="array" aca="1" ref="N190" ca="1">thm_monthly_vol(C190,qi,Di,bi,bf,telf,bterm,tterm)</f>
        <v>0.35771850019216345</v>
      </c>
      <c r="O190" s="2" cm="1">
        <f t="array" aca="1" ref="O190" ca="1">thm_cum($C190,qi,Di,bi,bf,telf,bterm,tterm)</f>
        <v>464.58950058703084</v>
      </c>
      <c r="Q190" cm="1">
        <f t="array" aca="1" ref="Q190" ca="1">thm_rate(C190,$F$3,$F$4,$F$5,$F$6,$F$7,$F$8,$F$9)</f>
        <v>11.713447486785169</v>
      </c>
      <c r="R190" s="2" cm="1">
        <f t="array" aca="1" ref="R190" ca="1">thm_cum($C190,$F$3,$F$4,$F$5,$F$6,$F$7,$F$8,$F$9)*$P$3/thm_cum($P$2,$F$3,$F$4,$F$5,$F$6,$F$7,$F$8,$F$9)</f>
        <v>441.5992158099923</v>
      </c>
    </row>
    <row r="191" spans="2:18" x14ac:dyDescent="0.25">
      <c r="B191" s="6" cm="1">
        <f t="array" ref="B191">B190+log_interval</f>
        <v>9.1527757446513167</v>
      </c>
      <c r="C191" s="8">
        <f t="shared" si="12"/>
        <v>9440.608762859094</v>
      </c>
      <c r="D191" s="6">
        <f ca="1"/>
        <v>10.434629047780211</v>
      </c>
      <c r="E191" s="7">
        <f ca="1"/>
        <v>2.1891248624311639E-4</v>
      </c>
      <c r="F191" s="7">
        <f ca="1"/>
        <v>0</v>
      </c>
      <c r="G191" s="8">
        <f ca="1"/>
        <v>470.43118856450303</v>
      </c>
      <c r="H191" s="20">
        <f t="shared" ca="1" si="11"/>
        <v>416.28482053922534</v>
      </c>
      <c r="I191" s="2"/>
      <c r="J191" s="2" cm="1">
        <f t="array" aca="1" ref="J191" ca="1">thm_rate($C191,qi,Di,bi,bf,telf,bterm,tterm)</f>
        <v>10.434629047780211</v>
      </c>
      <c r="K191" s="2" cm="1">
        <f t="array" aca="1" ref="K191" ca="1">thm_D($C191,qi,Di,bi,bf,telf,bterm,tterm)</f>
        <v>2.1891248624311639E-4</v>
      </c>
      <c r="L191" s="3" cm="1">
        <f t="array" aca="1" ref="L191" ca="1">thm_D_eff(C191,qi,Di,bi,bf,telf,bterm,tterm)</f>
        <v>7.684468398841271E-2</v>
      </c>
      <c r="M191" s="2" cm="1">
        <f t="array" aca="1" ref="M191" ca="1">thm_b(C191,qi,Di,bi,bf,telf,bterm,tterm)</f>
        <v>0</v>
      </c>
      <c r="N191" s="2" cm="1">
        <f t="array" aca="1" ref="N191" ca="1">thm_monthly_vol(C191,qi,Di,bi,bf,telf,bterm,tterm)</f>
        <v>0.31866449712987333</v>
      </c>
      <c r="O191" s="2" cm="1">
        <f t="array" aca="1" ref="O191" ca="1">thm_cum($C191,qi,Di,bi,bf,telf,bterm,tterm)</f>
        <v>470.43118856450303</v>
      </c>
      <c r="Q191" cm="1">
        <f t="array" aca="1" ref="Q191" ca="1">thm_rate(C191,$F$3,$F$4,$F$5,$F$6,$F$7,$F$8,$F$9)</f>
        <v>10.434629047780211</v>
      </c>
      <c r="R191" s="2" cm="1">
        <f t="array" aca="1" ref="R191" ca="1">thm_cum($C191,$F$3,$F$4,$F$5,$F$6,$F$7,$F$8,$F$9)*$P$3/thm_cum($P$2,$F$3,$F$4,$F$5,$F$6,$F$7,$F$8,$F$9)</f>
        <v>447.40518999148867</v>
      </c>
    </row>
    <row r="192" spans="2:18" x14ac:dyDescent="0.25">
      <c r="B192" s="6" cm="1">
        <f t="array" ref="B192">B191+log_interval</f>
        <v>9.2103403719761676</v>
      </c>
      <c r="C192" s="8">
        <f t="shared" si="12"/>
        <v>9999.999999999849</v>
      </c>
      <c r="D192" s="6">
        <f ca="1"/>
        <v>9.2319681937774796</v>
      </c>
      <c r="E192" s="7">
        <f ca="1"/>
        <v>2.1891248624311639E-4</v>
      </c>
      <c r="F192" s="7">
        <f ca="1"/>
        <v>0</v>
      </c>
      <c r="G192" s="8">
        <f ca="1"/>
        <v>475.92498599306589</v>
      </c>
      <c r="H192" s="20">
        <f t="shared" ca="1" si="11"/>
        <v>421.14628494086668</v>
      </c>
      <c r="I192" s="2"/>
      <c r="J192" s="2" cm="1">
        <f t="array" aca="1" ref="J192" ca="1">thm_rate($C192,qi,Di,bi,bf,telf,bterm,tterm)</f>
        <v>9.2319681937774796</v>
      </c>
      <c r="K192" s="2" cm="1">
        <f t="array" aca="1" ref="K192" ca="1">thm_D($C192,qi,Di,bi,bf,telf,bterm,tterm)</f>
        <v>2.1891248624311639E-4</v>
      </c>
      <c r="L192" s="3" cm="1">
        <f t="array" aca="1" ref="L192" ca="1">thm_D_eff(C192,qi,Di,bi,bf,telf,bterm,tterm)</f>
        <v>7.684468398841271E-2</v>
      </c>
      <c r="M192" s="2" cm="1">
        <f t="array" aca="1" ref="M192" ca="1">thm_b(C192,qi,Di,bi,bf,telf,bterm,tterm)</f>
        <v>0</v>
      </c>
      <c r="N192" s="2" cm="1">
        <f t="array" aca="1" ref="N192" ca="1">thm_monthly_vol(C192,qi,Di,bi,bf,telf,bterm,tterm)</f>
        <v>0.28193628048666142</v>
      </c>
      <c r="O192" s="2" cm="1">
        <f t="array" aca="1" ref="O192" ca="1">thm_cum($C192,qi,Di,bi,bf,telf,bterm,tterm)</f>
        <v>475.92498599306589</v>
      </c>
      <c r="Q192" cm="1">
        <f t="array" aca="1" ref="Q192" ca="1">thm_rate(C192,$F$3,$F$4,$F$5,$F$6,$F$7,$F$8,$F$9)</f>
        <v>9.2319681937774796</v>
      </c>
      <c r="R192" s="2" cm="1">
        <f t="array" aca="1" ref="R192" ca="1">thm_cum($C192,$F$3,$F$4,$F$5,$F$6,$F$7,$F$8,$F$9)*$P$3/thm_cum($P$2,$F$3,$F$4,$F$5,$F$6,$F$7,$F$8,$F$9)</f>
        <v>452.86540049085357</v>
      </c>
    </row>
    <row r="193" spans="2:18" x14ac:dyDescent="0.25">
      <c r="B193" s="6" cm="1">
        <f t="array" ref="B193">B192+log_interval</f>
        <v>9.2679049993010185</v>
      </c>
      <c r="C193" s="8">
        <f t="shared" si="12"/>
        <v>10592.537251772726</v>
      </c>
      <c r="D193" s="6">
        <f ca="1"/>
        <v>8.1088694916042581</v>
      </c>
      <c r="E193" s="7">
        <f ca="1"/>
        <v>2.1891248624311639E-4</v>
      </c>
      <c r="F193" s="7">
        <f ca="1"/>
        <v>0</v>
      </c>
      <c r="G193" s="8">
        <f ca="1"/>
        <v>481.05534069072326</v>
      </c>
      <c r="H193" s="20">
        <f t="shared" ref="H193:H224" ca="1" si="13">$P$4*G193</f>
        <v>425.68613866768658</v>
      </c>
      <c r="I193" s="2"/>
      <c r="J193" s="2" cm="1">
        <f t="array" aca="1" ref="J193" ca="1">thm_rate($C193,qi,Di,bi,bf,telf,bterm,tterm)</f>
        <v>8.1088694916042581</v>
      </c>
      <c r="K193" s="2" cm="1">
        <f t="array" aca="1" ref="K193" ca="1">thm_D($C193,qi,Di,bi,bf,telf,bterm,tterm)</f>
        <v>2.1891248624311639E-4</v>
      </c>
      <c r="L193" s="3" cm="1">
        <f t="array" aca="1" ref="L193" ca="1">thm_D_eff(C193,qi,Di,bi,bf,telf,bterm,tterm)</f>
        <v>7.684468398841271E-2</v>
      </c>
      <c r="M193" s="2" cm="1">
        <f t="array" aca="1" ref="M193" ca="1">thm_b(C193,qi,Di,bi,bf,telf,bterm,tterm)</f>
        <v>0</v>
      </c>
      <c r="N193" s="2" cm="1">
        <f t="array" aca="1" ref="N193" ca="1">thm_monthly_vol(C193,qi,Di,bi,bf,telf,bterm,tterm)</f>
        <v>0.24763782277278779</v>
      </c>
      <c r="O193" s="2" cm="1">
        <f t="array" aca="1" ref="O193" ca="1">thm_cum($C193,qi,Di,bi,bf,telf,bterm,tterm)</f>
        <v>481.05534069072326</v>
      </c>
      <c r="Q193" cm="1">
        <f t="array" aca="1" ref="Q193" ca="1">thm_rate(C193,$F$3,$F$4,$F$5,$F$6,$F$7,$F$8,$F$9)</f>
        <v>8.1088694916042581</v>
      </c>
      <c r="R193" s="2" cm="1">
        <f t="array" aca="1" ref="R193" ca="1">thm_cum($C193,$F$3,$F$4,$F$5,$F$6,$F$7,$F$8,$F$9)*$P$3/thm_cum($P$2,$F$3,$F$4,$F$5,$F$6,$F$7,$F$8,$F$9)</f>
        <v>457.96439020605004</v>
      </c>
    </row>
    <row r="194" spans="2:18" x14ac:dyDescent="0.25">
      <c r="B194" s="6" cm="1">
        <f t="array" ref="B194">B193+log_interval</f>
        <v>9.3254696266258694</v>
      </c>
      <c r="C194" s="8">
        <f t="shared" si="12"/>
        <v>11220.184543019459</v>
      </c>
      <c r="D194" s="6">
        <f ca="1"/>
        <v>7.0678662612744807</v>
      </c>
      <c r="E194" s="7">
        <f ca="1"/>
        <v>2.1891248624311639E-4</v>
      </c>
      <c r="F194" s="7">
        <f ca="1"/>
        <v>0</v>
      </c>
      <c r="G194" s="8">
        <f ca="1"/>
        <v>485.8106803618175</v>
      </c>
      <c r="H194" s="20">
        <f t="shared" ca="1" si="13"/>
        <v>429.89414138881801</v>
      </c>
      <c r="I194" s="2"/>
      <c r="J194" s="2" cm="1">
        <f t="array" aca="1" ref="J194" ca="1">thm_rate($C194,qi,Di,bi,bf,telf,bterm,tterm)</f>
        <v>7.0678662612744807</v>
      </c>
      <c r="K194" s="2" cm="1">
        <f t="array" aca="1" ref="K194" ca="1">thm_D($C194,qi,Di,bi,bf,telf,bterm,tterm)</f>
        <v>2.1891248624311639E-4</v>
      </c>
      <c r="L194" s="3" cm="1">
        <f t="array" aca="1" ref="L194" ca="1">thm_D_eff(C194,qi,Di,bi,bf,telf,bterm,tterm)</f>
        <v>7.684468398841271E-2</v>
      </c>
      <c r="M194" s="2" cm="1">
        <f t="array" aca="1" ref="M194" ca="1">thm_b(C194,qi,Di,bi,bf,telf,bterm,tterm)</f>
        <v>0</v>
      </c>
      <c r="N194" s="2" cm="1">
        <f t="array" aca="1" ref="N194" ca="1">thm_monthly_vol(C194,qi,Di,bi,bf,telf,bterm,tterm)</f>
        <v>0.21584648937846396</v>
      </c>
      <c r="O194" s="2" cm="1">
        <f t="array" aca="1" ref="O194" ca="1">thm_cum($C194,qi,Di,bi,bf,telf,bterm,tterm)</f>
        <v>485.8106803618175</v>
      </c>
      <c r="Q194" cm="1">
        <f t="array" aca="1" ref="Q194" ca="1">thm_rate(C194,$F$3,$F$4,$F$5,$F$6,$F$7,$F$8,$F$9)</f>
        <v>7.0678662612744807</v>
      </c>
      <c r="R194" s="2" cm="1">
        <f t="array" aca="1" ref="R194" ca="1">thm_cum($C194,$F$3,$F$4,$F$5,$F$6,$F$7,$F$8,$F$9)*$P$3/thm_cum($P$2,$F$3,$F$4,$F$5,$F$6,$F$7,$F$8,$F$9)</f>
        <v>462.69065758991093</v>
      </c>
    </row>
    <row r="195" spans="2:18" x14ac:dyDescent="0.25">
      <c r="B195" s="6" cm="1">
        <f t="array" ref="B195">B194+log_interval</f>
        <v>9.3830342539507203</v>
      </c>
      <c r="C195" s="8">
        <f t="shared" si="12"/>
        <v>11885.022274369996</v>
      </c>
      <c r="D195" s="6">
        <f ca="1"/>
        <v>6.1105534606508183</v>
      </c>
      <c r="E195" s="7">
        <f ca="1"/>
        <v>2.1891248624311639E-4</v>
      </c>
      <c r="F195" s="7">
        <f ca="1"/>
        <v>0</v>
      </c>
      <c r="G195" s="8">
        <f ca="1"/>
        <v>490.18371918227342</v>
      </c>
      <c r="H195" s="20">
        <f t="shared" ca="1" si="13"/>
        <v>433.76384587448251</v>
      </c>
      <c r="I195" s="2"/>
      <c r="J195" s="2" cm="1">
        <f t="array" aca="1" ref="J195" ca="1">thm_rate($C195,qi,Di,bi,bf,telf,bterm,tterm)</f>
        <v>6.1105534606508183</v>
      </c>
      <c r="K195" s="2" cm="1">
        <f t="array" aca="1" ref="K195" ca="1">thm_D($C195,qi,Di,bi,bf,telf,bterm,tterm)</f>
        <v>2.1891248624311639E-4</v>
      </c>
      <c r="L195" s="3" cm="1">
        <f t="array" aca="1" ref="L195" ca="1">thm_D_eff(C195,qi,Di,bi,bf,telf,bterm,tterm)</f>
        <v>7.684468398841271E-2</v>
      </c>
      <c r="M195" s="2" cm="1">
        <f t="array" aca="1" ref="M195" ca="1">thm_b(C195,qi,Di,bi,bf,telf,bterm,tterm)</f>
        <v>0</v>
      </c>
      <c r="N195" s="2" cm="1">
        <f t="array" aca="1" ref="N195" ca="1">thm_monthly_vol(C195,qi,Di,bi,bf,telf,bterm,tterm)</f>
        <v>0.18661098892994232</v>
      </c>
      <c r="O195" s="2" cm="1">
        <f t="array" aca="1" ref="O195" ca="1">thm_cum($C195,qi,Di,bi,bf,telf,bterm,tterm)</f>
        <v>490.18371918227342</v>
      </c>
      <c r="Q195" cm="1">
        <f t="array" aca="1" ref="Q195" ca="1">thm_rate(C195,$F$3,$F$4,$F$5,$F$6,$F$7,$F$8,$F$9)</f>
        <v>6.1105534606508183</v>
      </c>
      <c r="R195" s="2" cm="1">
        <f t="array" aca="1" ref="R195" ca="1">thm_cum($C195,$F$3,$F$4,$F$5,$F$6,$F$7,$F$8,$F$9)*$P$3/thm_cum($P$2,$F$3,$F$4,$F$5,$F$6,$F$7,$F$8,$F$9)</f>
        <v>467.03696136104031</v>
      </c>
    </row>
    <row r="196" spans="2:18" x14ac:dyDescent="0.25">
      <c r="B196" s="6" cm="1">
        <f t="array" ref="B196">B195+log_interval</f>
        <v>9.4405988812755712</v>
      </c>
      <c r="C196" s="8">
        <f t="shared" si="12"/>
        <v>12589.254117941469</v>
      </c>
      <c r="D196" s="6">
        <f ca="1"/>
        <v>5.2375414959497446</v>
      </c>
      <c r="E196" s="7">
        <f ca="1"/>
        <v>2.1891248624311639E-4</v>
      </c>
      <c r="F196" s="7">
        <f ca="1"/>
        <v>0</v>
      </c>
      <c r="G196" s="8">
        <f ca="1"/>
        <v>494.17166879484847</v>
      </c>
      <c r="H196" s="20">
        <f t="shared" ca="1" si="13"/>
        <v>437.29278470580465</v>
      </c>
      <c r="I196" s="2"/>
      <c r="J196" s="2" cm="1">
        <f t="array" aca="1" ref="J196" ca="1">thm_rate($C196,qi,Di,bi,bf,telf,bterm,tterm)</f>
        <v>5.2375414959497446</v>
      </c>
      <c r="K196" s="2" cm="1">
        <f t="array" aca="1" ref="K196" ca="1">thm_D($C196,qi,Di,bi,bf,telf,bterm,tterm)</f>
        <v>2.1891248624311639E-4</v>
      </c>
      <c r="L196" s="3" cm="1">
        <f t="array" aca="1" ref="L196" ca="1">thm_D_eff(C196,qi,Di,bi,bf,telf,bterm,tterm)</f>
        <v>7.684468398841271E-2</v>
      </c>
      <c r="M196" s="2" cm="1">
        <f t="array" aca="1" ref="M196" ca="1">thm_b(C196,qi,Di,bi,bf,telf,bterm,tterm)</f>
        <v>0</v>
      </c>
      <c r="N196" s="2" cm="1">
        <f t="array" aca="1" ref="N196" ca="1">thm_monthly_vol(C196,qi,Di,bi,bf,telf,bterm,tterm)</f>
        <v>0.15994996270222828</v>
      </c>
      <c r="O196" s="2" cm="1">
        <f t="array" aca="1" ref="O196" ca="1">thm_cum($C196,qi,Di,bi,bf,telf,bterm,tterm)</f>
        <v>494.17166879484847</v>
      </c>
      <c r="Q196" cm="1">
        <f t="array" aca="1" ref="Q196" ca="1">thm_rate(C196,$F$3,$F$4,$F$5,$F$6,$F$7,$F$8,$F$9)</f>
        <v>5.2375414959497446</v>
      </c>
      <c r="R196" s="2" cm="1">
        <f t="array" aca="1" ref="R196" ca="1">thm_cum($C196,$F$3,$F$4,$F$5,$F$6,$F$7,$F$8,$F$9)*$P$3/thm_cum($P$2,$F$3,$F$4,$F$5,$F$6,$F$7,$F$8,$F$9)</f>
        <v>471.00053020912156</v>
      </c>
    </row>
    <row r="197" spans="2:18" x14ac:dyDescent="0.25">
      <c r="B197" s="6" cm="1">
        <f t="array" ref="B197">B196+log_interval</f>
        <v>9.4981635086004221</v>
      </c>
      <c r="C197" s="8">
        <f t="shared" si="12"/>
        <v>13335.214321633022</v>
      </c>
      <c r="D197" s="6">
        <f ca="1"/>
        <v>4.4484343608205155</v>
      </c>
      <c r="E197" s="7">
        <f ca="1"/>
        <v>2.1891248624311639E-4</v>
      </c>
      <c r="F197" s="7">
        <f ca="1"/>
        <v>0</v>
      </c>
      <c r="G197" s="8">
        <f ca="1"/>
        <v>497.77633817059558</v>
      </c>
      <c r="H197" s="20">
        <f t="shared" ca="1" si="13"/>
        <v>440.48255864227565</v>
      </c>
      <c r="I197" s="2"/>
      <c r="J197" s="2" cm="1">
        <f t="array" aca="1" ref="J197" ca="1">thm_rate($C197,qi,Di,bi,bf,telf,bterm,tterm)</f>
        <v>4.4484343608205155</v>
      </c>
      <c r="K197" s="2" cm="1">
        <f t="array" aca="1" ref="K197" ca="1">thm_D($C197,qi,Di,bi,bf,telf,bterm,tterm)</f>
        <v>2.1891248624311639E-4</v>
      </c>
      <c r="L197" s="3" cm="1">
        <f t="array" aca="1" ref="L197" ca="1">thm_D_eff(C197,qi,Di,bi,bf,telf,bterm,tterm)</f>
        <v>7.684468398841271E-2</v>
      </c>
      <c r="M197" s="2" cm="1">
        <f t="array" aca="1" ref="M197" ca="1">thm_b(C197,qi,Di,bi,bf,telf,bterm,tterm)</f>
        <v>0</v>
      </c>
      <c r="N197" s="2" cm="1">
        <f t="array" aca="1" ref="N197" ca="1">thm_monthly_vol(C197,qi,Di,bi,bf,telf,bterm,tterm)</f>
        <v>0.13585131700563124</v>
      </c>
      <c r="O197" s="2" cm="1">
        <f t="array" aca="1" ref="O197" ca="1">thm_cum($C197,qi,Di,bi,bf,telf,bterm,tterm)</f>
        <v>497.77633817059558</v>
      </c>
      <c r="Q197" cm="1">
        <f t="array" aca="1" ref="Q197" ca="1">thm_rate(C197,$F$3,$F$4,$F$5,$F$6,$F$7,$F$8,$F$9)</f>
        <v>4.4484343608205155</v>
      </c>
      <c r="R197" s="2" cm="1">
        <f t="array" aca="1" ref="R197" ca="1">thm_cum($C197,$F$3,$F$4,$F$5,$F$6,$F$7,$F$8,$F$9)*$P$3/thm_cum($P$2,$F$3,$F$4,$F$5,$F$6,$F$7,$F$8,$F$9)</f>
        <v>474.58316204586583</v>
      </c>
    </row>
    <row r="198" spans="2:18" x14ac:dyDescent="0.25">
      <c r="B198" s="6" cm="1">
        <f t="array" ref="B198">B197+log_interval</f>
        <v>9.555728135925273</v>
      </c>
      <c r="C198" s="8">
        <f t="shared" si="12"/>
        <v>14125.37544622731</v>
      </c>
      <c r="D198" s="6">
        <f ca="1"/>
        <v>3.741834760944359</v>
      </c>
      <c r="E198" s="7">
        <f ca="1"/>
        <v>2.1891248624311639E-4</v>
      </c>
      <c r="F198" s="7">
        <f ca="1"/>
        <v>0</v>
      </c>
      <c r="G198" s="8">
        <f ca="1"/>
        <v>501.00411019951235</v>
      </c>
      <c r="H198" s="20">
        <f t="shared" ca="1" si="13"/>
        <v>443.3388159068063</v>
      </c>
      <c r="I198" s="2"/>
      <c r="J198" s="2" cm="1">
        <f t="array" aca="1" ref="J198" ca="1">thm_rate($C198,qi,Di,bi,bf,telf,bterm,tterm)</f>
        <v>3.741834760944359</v>
      </c>
      <c r="K198" s="2" cm="1">
        <f t="array" aca="1" ref="K198" ca="1">thm_D($C198,qi,Di,bi,bf,telf,bterm,tterm)</f>
        <v>2.1891248624311639E-4</v>
      </c>
      <c r="L198" s="3" cm="1">
        <f t="array" aca="1" ref="L198" ca="1">thm_D_eff(C198,qi,Di,bi,bf,telf,bterm,tterm)</f>
        <v>7.684468398841271E-2</v>
      </c>
      <c r="M198" s="2" cm="1">
        <f t="array" aca="1" ref="M198" ca="1">thm_b(C198,qi,Di,bi,bf,telf,bterm,tterm)</f>
        <v>0</v>
      </c>
      <c r="N198" s="2" cm="1">
        <f t="array" aca="1" ref="N198" ca="1">thm_monthly_vol(C198,qi,Di,bi,bf,telf,bterm,tterm)</f>
        <v>0.11427237968683812</v>
      </c>
      <c r="O198" s="2" cm="1">
        <f t="array" aca="1" ref="O198" ca="1">thm_cum($C198,qi,Di,bi,bf,telf,bterm,tterm)</f>
        <v>501.00411019951235</v>
      </c>
      <c r="Q198" cm="1">
        <f t="array" aca="1" ref="Q198" ca="1">thm_rate(C198,$F$3,$F$4,$F$5,$F$6,$F$7,$F$8,$F$9)</f>
        <v>3.741834760944359</v>
      </c>
      <c r="R198" s="2" cm="1">
        <f t="array" aca="1" ref="R198" ca="1">thm_cum($C198,$F$3,$F$4,$F$5,$F$6,$F$7,$F$8,$F$9)*$P$3/thm_cum($P$2,$F$3,$F$4,$F$5,$F$6,$F$7,$F$8,$F$9)</f>
        <v>477.79120073877749</v>
      </c>
    </row>
    <row r="199" spans="2:18" x14ac:dyDescent="0.25">
      <c r="B199" s="6" cm="1">
        <f t="array" ref="B199">B198+log_interval</f>
        <v>9.6132927632501239</v>
      </c>
      <c r="C199" s="8">
        <f t="shared" si="12"/>
        <v>14962.356560944083</v>
      </c>
      <c r="D199" s="6">
        <f ca="1"/>
        <v>3.1153778721823038</v>
      </c>
      <c r="E199" s="7">
        <f ca="1"/>
        <v>2.1891248624311639E-4</v>
      </c>
      <c r="F199" s="7">
        <f ca="1"/>
        <v>0</v>
      </c>
      <c r="G199" s="8">
        <f ca="1"/>
        <v>503.86578748212446</v>
      </c>
      <c r="H199" s="20">
        <f t="shared" ca="1" si="13"/>
        <v>445.87111572661303</v>
      </c>
      <c r="I199" s="2"/>
      <c r="J199" s="2" cm="1">
        <f t="array" aca="1" ref="J199" ca="1">thm_rate($C199,qi,Di,bi,bf,telf,bterm,tterm)</f>
        <v>3.1153778721823038</v>
      </c>
      <c r="K199" s="2" cm="1">
        <f t="array" aca="1" ref="K199" ca="1">thm_D($C199,qi,Di,bi,bf,telf,bterm,tterm)</f>
        <v>2.1891248624311639E-4</v>
      </c>
      <c r="L199" s="3" cm="1">
        <f t="array" aca="1" ref="L199" ca="1">thm_D_eff(C199,qi,Di,bi,bf,telf,bterm,tterm)</f>
        <v>7.684468398841271E-2</v>
      </c>
      <c r="M199" s="2" cm="1">
        <f t="array" aca="1" ref="M199" ca="1">thm_b(C199,qi,Di,bi,bf,telf,bterm,tterm)</f>
        <v>0</v>
      </c>
      <c r="N199" s="2" cm="1">
        <f t="array" aca="1" ref="N199" ca="1">thm_monthly_vol(C199,qi,Di,bi,bf,telf,bterm,tterm)</f>
        <v>9.5140931073160573E-2</v>
      </c>
      <c r="O199" s="2" cm="1">
        <f t="array" aca="1" ref="O199" ca="1">thm_cum($C199,qi,Di,bi,bf,telf,bterm,tterm)</f>
        <v>503.86578748212446</v>
      </c>
      <c r="Q199" cm="1">
        <f t="array" aca="1" ref="Q199" ca="1">thm_rate(C199,$F$3,$F$4,$F$5,$F$6,$F$7,$F$8,$F$9)</f>
        <v>3.1153778721823038</v>
      </c>
      <c r="R199" s="2" cm="1">
        <f t="array" aca="1" ref="R199" ca="1">thm_cum($C199,$F$3,$F$4,$F$5,$F$6,$F$7,$F$8,$F$9)*$P$3/thm_cum($P$2,$F$3,$F$4,$F$5,$F$6,$F$7,$F$8,$F$9)</f>
        <v>480.63538284550657</v>
      </c>
    </row>
    <row r="200" spans="2:18" x14ac:dyDescent="0.25">
      <c r="B200" s="6" cm="1">
        <f t="array" ref="B200">B199+log_interval</f>
        <v>9.6708573905749748</v>
      </c>
      <c r="C200" s="8">
        <f t="shared" si="12"/>
        <v>15848.931924610864</v>
      </c>
      <c r="D200" s="6">
        <f ca="1"/>
        <v>2.5657941351745177</v>
      </c>
      <c r="E200" s="7">
        <f ca="1"/>
        <v>2.1891248624311639E-4</v>
      </c>
      <c r="F200" s="7">
        <f ca="1"/>
        <v>0</v>
      </c>
      <c r="G200" s="8">
        <f ca="1"/>
        <v>506.37630548152919</v>
      </c>
      <c r="H200" s="20">
        <f t="shared" ca="1" si="13"/>
        <v>448.0926745013017</v>
      </c>
      <c r="I200" s="2"/>
      <c r="J200" s="2" cm="1">
        <f t="array" aca="1" ref="J200" ca="1">thm_rate($C200,qi,Di,bi,bf,telf,bterm,tterm)</f>
        <v>2.5657941351745177</v>
      </c>
      <c r="K200" s="2" cm="1">
        <f t="array" aca="1" ref="K200" ca="1">thm_D($C200,qi,Di,bi,bf,telf,bterm,tterm)</f>
        <v>2.1891248624311639E-4</v>
      </c>
      <c r="L200" s="3" cm="1">
        <f t="array" aca="1" ref="L200" ca="1">thm_D_eff(C200,qi,Di,bi,bf,telf,bterm,tterm)</f>
        <v>7.684468398841271E-2</v>
      </c>
      <c r="M200" s="2" cm="1">
        <f t="array" aca="1" ref="M200" ca="1">thm_b(C200,qi,Di,bi,bf,telf,bterm,tterm)</f>
        <v>0</v>
      </c>
      <c r="N200" s="2" cm="1">
        <f t="array" aca="1" ref="N200" ca="1">thm_monthly_vol(C200,qi,Di,bi,bf,telf,bterm,tterm)</f>
        <v>7.8357121664851093E-2</v>
      </c>
      <c r="O200" s="2" cm="1">
        <f t="array" aca="1" ref="O200" ca="1">thm_cum($C200,qi,Di,bi,bf,telf,bterm,tterm)</f>
        <v>506.37630548152919</v>
      </c>
      <c r="Q200" cm="1">
        <f t="array" aca="1" ref="Q200" ca="1">thm_rate(C200,$F$3,$F$4,$F$5,$F$6,$F$7,$F$8,$F$9)</f>
        <v>2.5657941351745177</v>
      </c>
      <c r="R200" s="2" cm="1">
        <f t="array" aca="1" ref="R200" ca="1">thm_cum($C200,$F$3,$F$4,$F$5,$F$6,$F$7,$F$8,$F$9)*$P$3/thm_cum($P$2,$F$3,$F$4,$F$5,$F$6,$F$7,$F$8,$F$9)</f>
        <v>483.13055251956933</v>
      </c>
    </row>
    <row r="201" spans="2:18" x14ac:dyDescent="0.25">
      <c r="B201" s="6" cm="1">
        <f t="array" ref="B201">B200+log_interval</f>
        <v>9.7284220178998257</v>
      </c>
      <c r="C201" s="8">
        <f t="shared" si="12"/>
        <v>16788.040181225315</v>
      </c>
      <c r="D201" s="6">
        <f ca="1"/>
        <v>2.0890000609578454</v>
      </c>
      <c r="E201" s="7">
        <f ca="1"/>
        <v>2.1891248624311639E-4</v>
      </c>
      <c r="F201" s="7">
        <f ca="1"/>
        <v>0</v>
      </c>
      <c r="G201" s="8">
        <f ca="1"/>
        <v>508.55431772011462</v>
      </c>
      <c r="H201" s="20">
        <f t="shared" ca="1" si="13"/>
        <v>450.01999874321353</v>
      </c>
      <c r="I201" s="2"/>
      <c r="J201" s="2" cm="1">
        <f t="array" aca="1" ref="J201" ca="1">thm_rate($C201,qi,Di,bi,bf,telf,bterm,tterm)</f>
        <v>2.0890000609578454</v>
      </c>
      <c r="K201" s="2" cm="1">
        <f t="array" aca="1" ref="K201" ca="1">thm_D($C201,qi,Di,bi,bf,telf,bterm,tterm)</f>
        <v>2.1891248624311639E-4</v>
      </c>
      <c r="L201" s="3" cm="1">
        <f t="array" aca="1" ref="L201" ca="1">thm_D_eff(C201,qi,Di,bi,bf,telf,bterm,tterm)</f>
        <v>7.684468398841271E-2</v>
      </c>
      <c r="M201" s="2" cm="1">
        <f t="array" aca="1" ref="M201" ca="1">thm_b(C201,qi,Di,bi,bf,telf,bterm,tterm)</f>
        <v>0</v>
      </c>
      <c r="N201" s="2" cm="1">
        <f t="array" aca="1" ref="N201" ca="1">thm_monthly_vol(C201,qi,Di,bi,bf,telf,bterm,tterm)</f>
        <v>6.3796245259993611E-2</v>
      </c>
      <c r="O201" s="2" cm="1">
        <f t="array" aca="1" ref="O201" ca="1">thm_cum($C201,qi,Di,bi,bf,telf,bterm,tterm)</f>
        <v>508.55431772011462</v>
      </c>
      <c r="Q201" cm="1">
        <f t="array" aca="1" ref="Q201" ca="1">thm_rate(C201,$F$3,$F$4,$F$5,$F$6,$F$7,$F$8,$F$9)</f>
        <v>2.0890000609578454</v>
      </c>
      <c r="R201" s="2" cm="1">
        <f t="array" aca="1" ref="R201" ca="1">thm_cum($C201,$F$3,$F$4,$F$5,$F$6,$F$7,$F$8,$F$9)*$P$3/thm_cum($P$2,$F$3,$F$4,$F$5,$F$6,$F$7,$F$8,$F$9)</f>
        <v>485.29524924301234</v>
      </c>
    </row>
    <row r="202" spans="2:18" x14ac:dyDescent="0.25">
      <c r="B202" s="6" cm="1">
        <f t="array" ref="B202">B201+log_interval</f>
        <v>9.7859866452246766</v>
      </c>
      <c r="C202" s="8">
        <f t="shared" si="12"/>
        <v>17782.794100388917</v>
      </c>
      <c r="D202" s="6">
        <f ca="1"/>
        <v>1.6802144903795186</v>
      </c>
      <c r="E202" s="7">
        <f ca="1"/>
        <v>2.1891248624311639E-4</v>
      </c>
      <c r="F202" s="7">
        <f ca="1"/>
        <v>0</v>
      </c>
      <c r="G202" s="8">
        <f ca="1"/>
        <v>510.42166470243495</v>
      </c>
      <c r="H202" s="20">
        <f t="shared" ca="1" si="13"/>
        <v>451.67241512698206</v>
      </c>
      <c r="I202" s="2"/>
      <c r="J202" s="2" cm="1">
        <f t="array" aca="1" ref="J202" ca="1">thm_rate($C202,qi,Di,bi,bf,telf,bterm,tterm)</f>
        <v>1.6802144903795186</v>
      </c>
      <c r="K202" s="2" cm="1">
        <f t="array" aca="1" ref="K202" ca="1">thm_D($C202,qi,Di,bi,bf,telf,bterm,tterm)</f>
        <v>2.1891248624311639E-4</v>
      </c>
      <c r="L202" s="3" cm="1">
        <f t="array" aca="1" ref="L202" ca="1">thm_D_eff(C202,qi,Di,bi,bf,telf,bterm,tterm)</f>
        <v>7.684468398841271E-2</v>
      </c>
      <c r="M202" s="2" cm="1">
        <f t="array" aca="1" ref="M202" ca="1">thm_b(C202,qi,Di,bi,bf,telf,bterm,tterm)</f>
        <v>0</v>
      </c>
      <c r="N202" s="2" cm="1">
        <f t="array" aca="1" ref="N202" ca="1">thm_monthly_vol(C202,qi,Di,bi,bf,telf,bterm,tterm)</f>
        <v>5.1312289415875512E-2</v>
      </c>
      <c r="O202" s="2" cm="1">
        <f t="array" aca="1" ref="O202" ca="1">thm_cum($C202,qi,Di,bi,bf,telf,bterm,tterm)</f>
        <v>510.42166470243495</v>
      </c>
      <c r="Q202" cm="1">
        <f t="array" aca="1" ref="Q202" ca="1">thm_rate(C202,$F$3,$F$4,$F$5,$F$6,$F$7,$F$8,$F$9)</f>
        <v>1.6802144903795186</v>
      </c>
      <c r="R202" s="2" cm="1">
        <f t="array" aca="1" ref="R202" ca="1">thm_cum($C202,$F$3,$F$4,$F$5,$F$6,$F$7,$F$8,$F$9)*$P$3/thm_cum($P$2,$F$3,$F$4,$F$5,$F$6,$F$7,$F$8,$F$9)</f>
        <v>487.15117999608532</v>
      </c>
    </row>
    <row r="203" spans="2:18" x14ac:dyDescent="0.25">
      <c r="B203" s="6" cm="1">
        <f t="array" ref="B203">B202+log_interval</f>
        <v>9.8435512725495276</v>
      </c>
      <c r="C203" s="8">
        <f t="shared" si="12"/>
        <v>18836.49089489767</v>
      </c>
      <c r="D203" s="6">
        <f ca="1"/>
        <v>1.3340962190001273</v>
      </c>
      <c r="E203" s="7">
        <f ca="1"/>
        <v>2.1891248624311639E-4</v>
      </c>
      <c r="F203" s="7">
        <f ca="1"/>
        <v>0</v>
      </c>
      <c r="G203" s="8">
        <f ca="1"/>
        <v>512.0027452397735</v>
      </c>
      <c r="H203" s="20">
        <f t="shared" ca="1" si="13"/>
        <v>453.07151417428895</v>
      </c>
      <c r="I203" s="2"/>
      <c r="J203" s="2" cm="1">
        <f t="array" aca="1" ref="J203" ca="1">thm_rate($C203,qi,Di,bi,bf,telf,bterm,tterm)</f>
        <v>1.3340962190001273</v>
      </c>
      <c r="K203" s="2" cm="1">
        <f t="array" aca="1" ref="K203" ca="1">thm_D($C203,qi,Di,bi,bf,telf,bterm,tterm)</f>
        <v>2.1891248624311639E-4</v>
      </c>
      <c r="L203" s="3" cm="1">
        <f t="array" aca="1" ref="L203" ca="1">thm_D_eff(C203,qi,Di,bi,bf,telf,bterm,tterm)</f>
        <v>7.684468398841271E-2</v>
      </c>
      <c r="M203" s="2" cm="1">
        <f t="array" aca="1" ref="M203" ca="1">thm_b(C203,qi,Di,bi,bf,telf,bterm,tterm)</f>
        <v>0</v>
      </c>
      <c r="N203" s="2" cm="1">
        <f t="array" aca="1" ref="N203" ca="1">thm_monthly_vol(C203,qi,Di,bi,bf,telf,bterm,tterm)</f>
        <v>4.0742138393568439E-2</v>
      </c>
      <c r="O203" s="2" cm="1">
        <f t="array" aca="1" ref="O203" ca="1">thm_cum($C203,qi,Di,bi,bf,telf,bterm,tterm)</f>
        <v>512.0027452397735</v>
      </c>
      <c r="Q203" cm="1">
        <f t="array" aca="1" ref="Q203" ca="1">thm_rate(C203,$F$3,$F$4,$F$5,$F$6,$F$7,$F$8,$F$9)</f>
        <v>1.3340962190001273</v>
      </c>
      <c r="R203" s="2" cm="1">
        <f t="array" aca="1" ref="R203" ca="1">thm_cum($C203,$F$3,$F$4,$F$5,$F$6,$F$7,$F$8,$F$9)*$P$3/thm_cum($P$2,$F$3,$F$4,$F$5,$F$6,$F$7,$F$8,$F$9)</f>
        <v>488.72259442528014</v>
      </c>
    </row>
    <row r="204" spans="2:18" x14ac:dyDescent="0.25">
      <c r="B204" s="6" cm="1">
        <f t="array" ref="B204">B203+log_interval</f>
        <v>9.9011158998743785</v>
      </c>
      <c r="C204" s="8">
        <f t="shared" si="12"/>
        <v>19952.623149688436</v>
      </c>
      <c r="D204" s="6">
        <f ca="1"/>
        <v>1.0448974913527691</v>
      </c>
      <c r="E204" s="7">
        <f ca="1"/>
        <v>2.1891248624311639E-4</v>
      </c>
      <c r="F204" s="7">
        <f ca="1"/>
        <v>0</v>
      </c>
      <c r="G204" s="8">
        <f ca="1"/>
        <v>513.32381528292399</v>
      </c>
      <c r="H204" s="20">
        <f t="shared" ca="1" si="13"/>
        <v>454.24052979060207</v>
      </c>
      <c r="I204" s="2"/>
      <c r="J204" s="2" cm="1">
        <f t="array" aca="1" ref="J204" ca="1">thm_rate($C204,qi,Di,bi,bf,telf,bterm,tterm)</f>
        <v>1.0448974913527691</v>
      </c>
      <c r="K204" s="2" cm="1">
        <f t="array" aca="1" ref="K204" ca="1">thm_D($C204,qi,Di,bi,bf,telf,bterm,tterm)</f>
        <v>2.1891248624311639E-4</v>
      </c>
      <c r="L204" s="3" cm="1">
        <f t="array" aca="1" ref="L204" ca="1">thm_D_eff(C204,qi,Di,bi,bf,telf,bterm,tterm)</f>
        <v>7.684468398841271E-2</v>
      </c>
      <c r="M204" s="2" cm="1">
        <f t="array" aca="1" ref="M204" ca="1">thm_b(C204,qi,Di,bi,bf,telf,bterm,tterm)</f>
        <v>0</v>
      </c>
      <c r="N204" s="2" cm="1">
        <f t="array" aca="1" ref="N204" ca="1">thm_monthly_vol(C204,qi,Di,bi,bf,telf,bterm,tterm)</f>
        <v>3.1910260739550722E-2</v>
      </c>
      <c r="O204" s="2" cm="1">
        <f t="array" aca="1" ref="O204" ca="1">thm_cum($C204,qi,Di,bi,bf,telf,bterm,tterm)</f>
        <v>513.32381528292399</v>
      </c>
      <c r="Q204" cm="1">
        <f t="array" aca="1" ref="Q204" ca="1">thm_rate(C204,$F$3,$F$4,$F$5,$F$6,$F$7,$F$8,$F$9)</f>
        <v>1.0448974913527691</v>
      </c>
      <c r="R204" s="2" cm="1">
        <f t="array" aca="1" ref="R204" ca="1">thm_cum($C204,$F$3,$F$4,$F$5,$F$6,$F$7,$F$8,$F$9)*$P$3/thm_cum($P$2,$F$3,$F$4,$F$5,$F$6,$F$7,$F$8,$F$9)</f>
        <v>490.03558796277463</v>
      </c>
    </row>
    <row r="205" spans="2:18" x14ac:dyDescent="0.25">
      <c r="B205" s="6" cm="1">
        <f t="array" ref="B205">B204+log_interval</f>
        <v>9.9586805271992294</v>
      </c>
      <c r="C205" s="8">
        <f t="shared" si="12"/>
        <v>21134.890398366082</v>
      </c>
      <c r="D205" s="6">
        <f ca="1"/>
        <v>0.80662671498356264</v>
      </c>
      <c r="E205" s="7">
        <f ca="1"/>
        <v>2.1891248624311639E-4</v>
      </c>
      <c r="F205" s="7">
        <f ca="1"/>
        <v>0</v>
      </c>
      <c r="G205" s="8">
        <f ca="1"/>
        <v>514.41224463868298</v>
      </c>
      <c r="H205" s="20">
        <f t="shared" ca="1" si="13"/>
        <v>455.20368153318606</v>
      </c>
      <c r="I205" s="2"/>
      <c r="J205" s="2" cm="1">
        <f t="array" aca="1" ref="J205" ca="1">thm_rate($C205,qi,Di,bi,bf,telf,bterm,tterm)</f>
        <v>0.80662671498356264</v>
      </c>
      <c r="K205" s="2" cm="1">
        <f t="array" aca="1" ref="K205" ca="1">thm_D($C205,qi,Di,bi,bf,telf,bterm,tterm)</f>
        <v>2.1891248624311639E-4</v>
      </c>
      <c r="L205" s="3" cm="1">
        <f t="array" aca="1" ref="L205" ca="1">thm_D_eff(C205,qi,Di,bi,bf,telf,bterm,tterm)</f>
        <v>7.684468398841271E-2</v>
      </c>
      <c r="M205" s="2" cm="1">
        <f t="array" aca="1" ref="M205" ca="1">thm_b(C205,qi,Di,bi,bf,telf,bterm,tterm)</f>
        <v>0</v>
      </c>
      <c r="N205" s="2" cm="1">
        <f t="array" aca="1" ref="N205" ca="1">thm_monthly_vol(C205,qi,Di,bi,bf,telf,bterm,tterm)</f>
        <v>2.4633678430177497E-2</v>
      </c>
      <c r="O205" s="2" cm="1">
        <f t="array" aca="1" ref="O205" ca="1">thm_cum($C205,qi,Di,bi,bf,telf,bterm,tterm)</f>
        <v>514.41224463868298</v>
      </c>
      <c r="Q205" cm="1">
        <f t="array" aca="1" ref="Q205" ca="1">thm_rate(C205,$F$3,$F$4,$F$5,$F$6,$F$7,$F$8,$F$9)</f>
        <v>0.80662671498356264</v>
      </c>
      <c r="R205" s="2" cm="1">
        <f t="array" aca="1" ref="R205" ca="1">thm_cum($C205,$F$3,$F$4,$F$5,$F$6,$F$7,$F$8,$F$9)*$P$3/thm_cum($P$2,$F$3,$F$4,$F$5,$F$6,$F$7,$F$8,$F$9)</f>
        <v>491.11736308706907</v>
      </c>
    </row>
    <row r="206" spans="2:18" x14ac:dyDescent="0.25">
      <c r="B206" s="6" cm="1">
        <f t="array" ref="B206">B205+log_interval</f>
        <v>10.01624515452408</v>
      </c>
      <c r="C206" s="8">
        <f t="shared" si="12"/>
        <v>22387.211385682982</v>
      </c>
      <c r="D206" s="6">
        <f ca="1"/>
        <v>0.61321297205858549</v>
      </c>
      <c r="E206" s="7">
        <f ca="1"/>
        <v>2.1891248624311639E-4</v>
      </c>
      <c r="F206" s="7">
        <f ca="1"/>
        <v>0</v>
      </c>
      <c r="G206" s="8">
        <f ca="1"/>
        <v>515.29576547499641</v>
      </c>
      <c r="H206" s="20">
        <f t="shared" ca="1" si="13"/>
        <v>455.98550961288822</v>
      </c>
      <c r="I206" s="2"/>
      <c r="J206" s="2" cm="1">
        <f t="array" aca="1" ref="J206" ca="1">thm_rate($C206,qi,Di,bi,bf,telf,bterm,tterm)</f>
        <v>0.61321297205858549</v>
      </c>
      <c r="K206" s="2" cm="1">
        <f t="array" aca="1" ref="K206" ca="1">thm_D($C206,qi,Di,bi,bf,telf,bterm,tterm)</f>
        <v>2.1891248624311639E-4</v>
      </c>
      <c r="L206" s="3" cm="1">
        <f t="array" aca="1" ref="L206" ca="1">thm_D_eff(C206,qi,Di,bi,bf,telf,bterm,tterm)</f>
        <v>7.684468398841271E-2</v>
      </c>
      <c r="M206" s="2" cm="1">
        <f t="array" aca="1" ref="M206" ca="1">thm_b(C206,qi,Di,bi,bf,telf,bterm,tterm)</f>
        <v>0</v>
      </c>
      <c r="N206" s="2" cm="1">
        <f t="array" aca="1" ref="N206" ca="1">thm_monthly_vol(C206,qi,Di,bi,bf,telf,bterm,tterm)</f>
        <v>1.8726990914501584E-2</v>
      </c>
      <c r="O206" s="2" cm="1">
        <f t="array" aca="1" ref="O206" ca="1">thm_cum($C206,qi,Di,bi,bf,telf,bterm,tterm)</f>
        <v>515.29576547499641</v>
      </c>
      <c r="Q206" cm="1">
        <f t="array" aca="1" ref="Q206" ca="1">thm_rate(C206,$F$3,$F$4,$F$5,$F$6,$F$7,$F$8,$F$9)</f>
        <v>0.61321297205858549</v>
      </c>
      <c r="R206" s="2" cm="1">
        <f t="array" aca="1" ref="R206" ca="1">thm_cum($C206,$F$3,$F$4,$F$5,$F$6,$F$7,$F$8,$F$9)*$P$3/thm_cum($P$2,$F$3,$F$4,$F$5,$F$6,$F$7,$F$8,$F$9)</f>
        <v>491.99548242247897</v>
      </c>
    </row>
    <row r="207" spans="2:18" x14ac:dyDescent="0.25">
      <c r="B207" s="6" cm="1">
        <f t="array" ref="B207">B206+log_interval</f>
        <v>10.073809781848931</v>
      </c>
      <c r="C207" s="8">
        <f t="shared" si="12"/>
        <v>23713.737056616108</v>
      </c>
      <c r="D207" s="6">
        <f ca="1"/>
        <v>0.45866462053804036</v>
      </c>
      <c r="E207" s="7">
        <f ca="1"/>
        <v>2.1891248624311639E-4</v>
      </c>
      <c r="F207" s="7">
        <f ca="1"/>
        <v>0</v>
      </c>
      <c r="G207" s="8">
        <f ca="1"/>
        <v>516.00174782517138</v>
      </c>
      <c r="H207" s="20">
        <f t="shared" ca="1" si="13"/>
        <v>456.61023378741254</v>
      </c>
      <c r="I207" s="2"/>
      <c r="J207" s="2" cm="1">
        <f t="array" aca="1" ref="J207" ca="1">thm_rate($C207,qi,Di,bi,bf,telf,bterm,tterm)</f>
        <v>0.45866462053804036</v>
      </c>
      <c r="K207" s="2" cm="1">
        <f t="array" aca="1" ref="K207" ca="1">thm_D($C207,qi,Di,bi,bf,telf,bterm,tterm)</f>
        <v>2.1891248624311639E-4</v>
      </c>
      <c r="L207" s="3" cm="1">
        <f t="array" aca="1" ref="L207" ca="1">thm_D_eff(C207,qi,Di,bi,bf,telf,bterm,tterm)</f>
        <v>7.684468398841271E-2</v>
      </c>
      <c r="M207" s="2" cm="1">
        <f t="array" aca="1" ref="M207" ca="1">thm_b(C207,qi,Di,bi,bf,telf,bterm,tterm)</f>
        <v>0</v>
      </c>
      <c r="N207" s="2" cm="1">
        <f t="array" aca="1" ref="N207" ca="1">thm_monthly_vol(C207,qi,Di,bi,bf,telf,bterm,tterm)</f>
        <v>1.4007218654910503E-2</v>
      </c>
      <c r="O207" s="2" cm="1">
        <f t="array" aca="1" ref="O207" ca="1">thm_cum($C207,qi,Di,bi,bf,telf,bterm,tterm)</f>
        <v>516.00174782517138</v>
      </c>
      <c r="Q207" cm="1">
        <f t="array" aca="1" ref="Q207" ca="1">thm_rate(C207,$F$3,$F$4,$F$5,$F$6,$F$7,$F$8,$F$9)</f>
        <v>0.45866462053804036</v>
      </c>
      <c r="R207" s="2" cm="1">
        <f t="array" aca="1" ref="R207" ca="1">thm_cum($C207,$F$3,$F$4,$F$5,$F$6,$F$7,$F$8,$F$9)*$P$3/thm_cum($P$2,$F$3,$F$4,$F$5,$F$6,$F$7,$F$8,$F$9)</f>
        <v>492.69714867263048</v>
      </c>
    </row>
    <row r="208" spans="2:18" x14ac:dyDescent="0.25">
      <c r="B208" s="6" cm="1">
        <f t="array" ref="B208">B207+log_interval</f>
        <v>10.131374409173782</v>
      </c>
      <c r="C208" s="8">
        <f t="shared" si="12"/>
        <v>25118.864315095325</v>
      </c>
      <c r="D208" s="6">
        <f ca="1"/>
        <v>0.33721454746223756</v>
      </c>
      <c r="E208" s="7">
        <f ca="1"/>
        <v>2.1891248624311639E-4</v>
      </c>
      <c r="F208" s="7">
        <f ca="1"/>
        <v>0</v>
      </c>
      <c r="G208" s="8">
        <f ca="1"/>
        <v>516.55653606571479</v>
      </c>
      <c r="H208" s="20">
        <f t="shared" ca="1" si="13"/>
        <v>457.10116621018966</v>
      </c>
      <c r="I208" s="2"/>
      <c r="J208" s="2" cm="1">
        <f t="array" aca="1" ref="J208" ca="1">thm_rate($C208,qi,Di,bi,bf,telf,bterm,tterm)</f>
        <v>0.33721454746223756</v>
      </c>
      <c r="K208" s="2" cm="1">
        <f t="array" aca="1" ref="K208" ca="1">thm_D($C208,qi,Di,bi,bf,telf,bterm,tterm)</f>
        <v>2.1891248624311639E-4</v>
      </c>
      <c r="L208" s="3" cm="1">
        <f t="array" aca="1" ref="L208" ca="1">thm_D_eff(C208,qi,Di,bi,bf,telf,bterm,tterm)</f>
        <v>7.684468398841271E-2</v>
      </c>
      <c r="M208" s="2" cm="1">
        <f t="array" aca="1" ref="M208" ca="1">thm_b(C208,qi,Di,bi,bf,telf,bterm,tterm)</f>
        <v>0</v>
      </c>
      <c r="N208" s="2" cm="1">
        <f t="array" aca="1" ref="N208" ca="1">thm_monthly_vol(C208,qi,Di,bi,bf,telf,bterm,tterm)</f>
        <v>1.0298239036615087E-2</v>
      </c>
      <c r="O208" s="2" cm="1">
        <f t="array" aca="1" ref="O208" ca="1">thm_cum($C208,qi,Di,bi,bf,telf,bterm,tterm)</f>
        <v>516.55653606571479</v>
      </c>
      <c r="Q208" cm="1">
        <f t="array" aca="1" ref="Q208" ca="1">thm_rate(C208,$F$3,$F$4,$F$5,$F$6,$F$7,$F$8,$F$9)</f>
        <v>0.33721454746223756</v>
      </c>
      <c r="R208" s="2" cm="1">
        <f t="array" aca="1" ref="R208" ca="1">thm_cum($C208,$F$3,$F$4,$F$5,$F$6,$F$7,$F$8,$F$9)*$P$3/thm_cum($P$2,$F$3,$F$4,$F$5,$F$6,$F$7,$F$8,$F$9)</f>
        <v>493.24854515481417</v>
      </c>
    </row>
    <row r="209" spans="2:18" x14ac:dyDescent="0.25">
      <c r="B209" s="6" cm="1">
        <f t="array" ref="B209">B208+log_interval</f>
        <v>10.188939036498633</v>
      </c>
      <c r="C209" s="8">
        <f t="shared" si="12"/>
        <v>26607.250597987586</v>
      </c>
      <c r="D209" s="6">
        <f ca="1"/>
        <v>0.24344548229900689</v>
      </c>
      <c r="E209" s="7">
        <f ca="1"/>
        <v>2.1891248624311639E-4</v>
      </c>
      <c r="F209" s="7">
        <f ca="1"/>
        <v>0</v>
      </c>
      <c r="G209" s="8">
        <f ca="1"/>
        <v>516.98487648051912</v>
      </c>
      <c r="H209" s="20">
        <f t="shared" ca="1" si="13"/>
        <v>457.48020488160643</v>
      </c>
      <c r="I209" s="2"/>
      <c r="J209" s="2" cm="1">
        <f t="array" aca="1" ref="J209" ca="1">thm_rate($C209,qi,Di,bi,bf,telf,bterm,tterm)</f>
        <v>0.24344548229900689</v>
      </c>
      <c r="K209" s="2" cm="1">
        <f t="array" aca="1" ref="K209" ca="1">thm_D($C209,qi,Di,bi,bf,telf,bterm,tterm)</f>
        <v>2.1891248624311639E-4</v>
      </c>
      <c r="L209" s="3" cm="1">
        <f t="array" aca="1" ref="L209" ca="1">thm_D_eff(C209,qi,Di,bi,bf,telf,bterm,tterm)</f>
        <v>7.684468398841271E-2</v>
      </c>
      <c r="M209" s="2" cm="1">
        <f t="array" aca="1" ref="M209" ca="1">thm_b(C209,qi,Di,bi,bf,telf,bterm,tterm)</f>
        <v>0</v>
      </c>
      <c r="N209" s="2" cm="1">
        <f t="array" aca="1" ref="N209" ca="1">thm_monthly_vol(C209,qi,Di,bi,bf,telf,bterm,tterm)</f>
        <v>7.4346133284279858E-3</v>
      </c>
      <c r="O209" s="2" cm="1">
        <f t="array" aca="1" ref="O209" ca="1">thm_cum($C209,qi,Di,bi,bf,telf,bterm,tterm)</f>
        <v>516.98487648051912</v>
      </c>
      <c r="Q209" cm="1">
        <f t="array" aca="1" ref="Q209" ca="1">thm_rate(C209,$F$3,$F$4,$F$5,$F$6,$F$7,$F$8,$F$9)</f>
        <v>0.24344548229900689</v>
      </c>
      <c r="R209" s="2" cm="1">
        <f t="array" aca="1" ref="R209" ca="1">thm_cum($C209,$F$3,$F$4,$F$5,$F$6,$F$7,$F$8,$F$9)*$P$3/thm_cum($P$2,$F$3,$F$4,$F$5,$F$6,$F$7,$F$8,$F$9)</f>
        <v>493.67426686381953</v>
      </c>
    </row>
    <row r="210" spans="2:18" x14ac:dyDescent="0.25">
      <c r="B210" s="6" cm="1">
        <f t="array" ref="B210">B209+log_interval</f>
        <v>10.246503663823484</v>
      </c>
      <c r="C210" s="8">
        <f t="shared" si="12"/>
        <v>28183.829312643989</v>
      </c>
      <c r="D210" s="6">
        <f ca="1"/>
        <v>0.17239015642140035</v>
      </c>
      <c r="E210" s="7">
        <f ca="1"/>
        <v>2.1891248624311639E-4</v>
      </c>
      <c r="F210" s="7">
        <f ca="1"/>
        <v>0</v>
      </c>
      <c r="G210" s="8">
        <f ca="1"/>
        <v>517.30945972881636</v>
      </c>
      <c r="H210" s="20">
        <f t="shared" ca="1" si="13"/>
        <v>457.76742877864388</v>
      </c>
      <c r="I210" s="2"/>
      <c r="J210" s="2" cm="1">
        <f t="array" aca="1" ref="J210" ca="1">thm_rate($C210,qi,Di,bi,bf,telf,bterm,tterm)</f>
        <v>0.17239015642140035</v>
      </c>
      <c r="K210" s="2" cm="1">
        <f t="array" aca="1" ref="K210" ca="1">thm_D($C210,qi,Di,bi,bf,telf,bterm,tterm)</f>
        <v>2.1891248624311639E-4</v>
      </c>
      <c r="L210" s="3" cm="1">
        <f t="array" aca="1" ref="L210" ca="1">thm_D_eff(C210,qi,Di,bi,bf,telf,bterm,tterm)</f>
        <v>7.684468398841271E-2</v>
      </c>
      <c r="M210" s="2" cm="1">
        <f t="array" aca="1" ref="M210" ca="1">thm_b(C210,qi,Di,bi,bf,telf,bterm,tterm)</f>
        <v>0</v>
      </c>
      <c r="N210" s="2" cm="1">
        <f t="array" aca="1" ref="N210" ca="1">thm_monthly_vol(C210,qi,Di,bi,bf,telf,bterm,tterm)</f>
        <v>5.2646454660134623E-3</v>
      </c>
      <c r="O210" s="2" cm="1">
        <f t="array" aca="1" ref="O210" ca="1">thm_cum($C210,qi,Di,bi,bf,telf,bterm,tterm)</f>
        <v>517.30945972881636</v>
      </c>
      <c r="Q210" cm="1">
        <f t="array" aca="1" ref="Q210" ca="1">thm_rate(C210,$F$3,$F$4,$F$5,$F$6,$F$7,$F$8,$F$9)</f>
        <v>0.17239015642140035</v>
      </c>
      <c r="R210" s="2" cm="1">
        <f t="array" aca="1" ref="R210" ca="1">thm_cum($C210,$F$3,$F$4,$F$5,$F$6,$F$7,$F$8,$F$9)*$P$3/thm_cum($P$2,$F$3,$F$4,$F$5,$F$6,$F$7,$F$8,$F$9)</f>
        <v>493.99686573706089</v>
      </c>
    </row>
    <row r="211" spans="2:18" x14ac:dyDescent="0.25">
      <c r="B211" s="6" cm="1">
        <f t="array" ref="B211">B210+log_interval</f>
        <v>10.304068291148335</v>
      </c>
      <c r="C211" s="8">
        <f t="shared" si="12"/>
        <v>29853.82618917901</v>
      </c>
      <c r="D211" s="6">
        <f ca="1"/>
        <v>0.11960290027521701</v>
      </c>
      <c r="E211" s="7">
        <f ca="1"/>
        <v>2.1891248624311639E-4</v>
      </c>
      <c r="F211" s="7">
        <f ca="1"/>
        <v>0</v>
      </c>
      <c r="G211" s="8">
        <f ca="1"/>
        <v>517.55059378677754</v>
      </c>
      <c r="H211" s="20">
        <f t="shared" ca="1" si="13"/>
        <v>457.98080844071643</v>
      </c>
      <c r="I211" s="2"/>
      <c r="J211" s="2" cm="1">
        <f t="array" aca="1" ref="J211" ca="1">thm_rate($C211,qi,Di,bi,bf,telf,bterm,tterm)</f>
        <v>0.11960290027521701</v>
      </c>
      <c r="K211" s="2" cm="1">
        <f t="array" aca="1" ref="K211" ca="1">thm_D($C211,qi,Di,bi,bf,telf,bterm,tterm)</f>
        <v>2.1891248624311639E-4</v>
      </c>
      <c r="L211" s="3" cm="1">
        <f t="array" aca="1" ref="L211" ca="1">thm_D_eff(C211,qi,Di,bi,bf,telf,bterm,tterm)</f>
        <v>7.684468398841271E-2</v>
      </c>
      <c r="M211" s="2" cm="1">
        <f t="array" aca="1" ref="M211" ca="1">thm_b(C211,qi,Di,bi,bf,telf,bterm,tterm)</f>
        <v>0</v>
      </c>
      <c r="N211" s="2" cm="1">
        <f t="array" aca="1" ref="N211" ca="1">thm_monthly_vol(C211,qi,Di,bi,bf,telf,bterm,tterm)</f>
        <v>3.6525685673041153E-3</v>
      </c>
      <c r="O211" s="2" cm="1">
        <f t="array" aca="1" ref="O211" ca="1">thm_cum($C211,qi,Di,bi,bf,telf,bterm,tterm)</f>
        <v>517.55059378677754</v>
      </c>
      <c r="Q211" cm="1">
        <f t="array" aca="1" ref="Q211" ca="1">thm_rate(C211,$F$3,$F$4,$F$5,$F$6,$F$7,$F$8,$F$9)</f>
        <v>0.11960290027521701</v>
      </c>
      <c r="R211" s="2" cm="1">
        <f t="array" aca="1" ref="R211" ca="1">thm_cum($C211,$F$3,$F$4,$F$5,$F$6,$F$7,$F$8,$F$9)*$P$3/thm_cum($P$2,$F$3,$F$4,$F$5,$F$6,$F$7,$F$8,$F$9)</f>
        <v>494.2365255956841</v>
      </c>
    </row>
    <row r="212" spans="2:18" x14ac:dyDescent="0.25">
      <c r="B212" s="6" cm="1">
        <f t="array" ref="B212">B211+log_interval</f>
        <v>10.361632918473186</v>
      </c>
      <c r="C212" s="8">
        <f t="shared" si="12"/>
        <v>31622.776601683163</v>
      </c>
      <c r="D212" s="6">
        <f ca="1"/>
        <v>8.1201340704722208E-2</v>
      </c>
      <c r="E212" s="7">
        <f ca="1"/>
        <v>2.1891248624311639E-4</v>
      </c>
      <c r="F212" s="7">
        <f ca="1"/>
        <v>0</v>
      </c>
      <c r="G212" s="8">
        <f ca="1"/>
        <v>517.72601347265072</v>
      </c>
      <c r="H212" s="20">
        <f t="shared" ca="1" si="13"/>
        <v>458.1360374183605</v>
      </c>
      <c r="I212" s="2"/>
      <c r="J212" s="2" cm="1">
        <f t="array" aca="1" ref="J212" ca="1">thm_rate($C212,qi,Di,bi,bf,telf,bterm,tterm)</f>
        <v>8.1201340704722208E-2</v>
      </c>
      <c r="K212" s="2" cm="1">
        <f t="array" aca="1" ref="K212" ca="1">thm_D($C212,qi,Di,bi,bf,telf,bterm,tterm)</f>
        <v>2.1891248624311639E-4</v>
      </c>
      <c r="L212" s="3" cm="1">
        <f t="array" aca="1" ref="L212" ca="1">thm_D_eff(C212,qi,Di,bi,bf,telf,bterm,tterm)</f>
        <v>7.684468398841271E-2</v>
      </c>
      <c r="M212" s="2" cm="1">
        <f t="array" aca="1" ref="M212" ca="1">thm_b(C212,qi,Di,bi,bf,telf,bterm,tterm)</f>
        <v>0</v>
      </c>
      <c r="N212" s="2" cm="1">
        <f t="array" aca="1" ref="N212" ca="1">thm_monthly_vol(C212,qi,Di,bi,bf,telf,bterm,tterm)</f>
        <v>2.4798183320626777E-3</v>
      </c>
      <c r="O212" s="2" cm="1">
        <f t="array" aca="1" ref="O212" ca="1">thm_cum($C212,qi,Di,bi,bf,telf,bterm,tterm)</f>
        <v>517.72601347265072</v>
      </c>
      <c r="Q212" cm="1">
        <f t="array" aca="1" ref="Q212" ca="1">thm_rate(C212,$F$3,$F$4,$F$5,$F$6,$F$7,$F$8,$F$9)</f>
        <v>8.1201340704722208E-2</v>
      </c>
      <c r="R212" s="2" cm="1">
        <f t="array" aca="1" ref="R212" ca="1">thm_cum($C212,$F$3,$F$4,$F$5,$F$6,$F$7,$F$8,$F$9)*$P$3/thm_cum($P$2,$F$3,$F$4,$F$5,$F$6,$F$7,$F$8,$F$9)</f>
        <v>494.41087283419358</v>
      </c>
    </row>
    <row r="213" spans="2:18" x14ac:dyDescent="0.25">
      <c r="B213" s="6" cm="1">
        <f t="array" ref="B213">B212+log_interval</f>
        <v>10.419197545798037</v>
      </c>
      <c r="C213" s="8">
        <f t="shared" si="12"/>
        <v>33496.543915782095</v>
      </c>
      <c r="D213" s="6">
        <f ca="1"/>
        <v>5.3878994892014968E-2</v>
      </c>
      <c r="E213" s="7">
        <f ca="1"/>
        <v>2.1891248624311639E-4</v>
      </c>
      <c r="F213" s="7">
        <f ca="1"/>
        <v>0</v>
      </c>
      <c r="G213" s="8">
        <f ca="1"/>
        <v>517.85082291719914</v>
      </c>
      <c r="H213" s="20">
        <f t="shared" ca="1" si="13"/>
        <v>458.2464813652935</v>
      </c>
      <c r="I213" s="2"/>
      <c r="J213" s="2" cm="1">
        <f t="array" aca="1" ref="J213" ca="1">thm_rate($C213,qi,Di,bi,bf,telf,bterm,tterm)</f>
        <v>5.3878994892014968E-2</v>
      </c>
      <c r="K213" s="2" cm="1">
        <f t="array" aca="1" ref="K213" ca="1">thm_D($C213,qi,Di,bi,bf,telf,bterm,tterm)</f>
        <v>2.1891248624311639E-4</v>
      </c>
      <c r="L213" s="3" cm="1">
        <f t="array" aca="1" ref="L213" ca="1">thm_D_eff(C213,qi,Di,bi,bf,telf,bterm,tterm)</f>
        <v>7.684468398841271E-2</v>
      </c>
      <c r="M213" s="2" cm="1">
        <f t="array" aca="1" ref="M213" ca="1">thm_b(C213,qi,Di,bi,bf,telf,bterm,tterm)</f>
        <v>0</v>
      </c>
      <c r="N213" s="2" cm="1">
        <f t="array" aca="1" ref="N213" ca="1">thm_monthly_vol(C213,qi,Di,bi,bf,telf,bterm,tterm)</f>
        <v>1.6454176505931173E-3</v>
      </c>
      <c r="O213" s="2" cm="1">
        <f t="array" aca="1" ref="O213" ca="1">thm_cum($C213,qi,Di,bi,bf,telf,bterm,tterm)</f>
        <v>517.85082291719914</v>
      </c>
      <c r="Q213" cm="1">
        <f t="array" aca="1" ref="Q213" ca="1">thm_rate(C213,$F$3,$F$4,$F$5,$F$6,$F$7,$F$8,$F$9)</f>
        <v>5.3878994892014968E-2</v>
      </c>
      <c r="R213" s="2" cm="1">
        <f t="array" aca="1" ref="R213" ca="1">thm_cum($C213,$F$3,$F$4,$F$5,$F$6,$F$7,$F$8,$F$9)*$P$3/thm_cum($P$2,$F$3,$F$4,$F$5,$F$6,$F$7,$F$8,$F$9)</f>
        <v>494.53491924260311</v>
      </c>
    </row>
    <row r="214" spans="2:18" x14ac:dyDescent="0.25">
      <c r="B214" s="6" cm="1">
        <f t="array" ref="B214">B213+log_interval</f>
        <v>10.476762173122887</v>
      </c>
      <c r="C214" s="8">
        <f t="shared" si="12"/>
        <v>35481.338923356823</v>
      </c>
      <c r="D214" s="6">
        <f ca="1"/>
        <v>3.4891536303776671E-2</v>
      </c>
      <c r="E214" s="7">
        <f ca="1"/>
        <v>2.1891248624311639E-4</v>
      </c>
      <c r="F214" s="7">
        <f ca="1"/>
        <v>0</v>
      </c>
      <c r="G214" s="8">
        <f ca="1"/>
        <v>517.9375583013433</v>
      </c>
      <c r="H214" s="20">
        <f t="shared" ca="1" si="13"/>
        <v>458.32323355498789</v>
      </c>
      <c r="I214" s="2"/>
      <c r="J214" s="2" cm="1">
        <f t="array" aca="1" ref="J214" ca="1">thm_rate($C214,qi,Di,bi,bf,telf,bterm,tterm)</f>
        <v>3.4891536303776671E-2</v>
      </c>
      <c r="K214" s="2" cm="1">
        <f t="array" aca="1" ref="K214" ca="1">thm_D($C214,qi,Di,bi,bf,telf,bterm,tterm)</f>
        <v>2.1891248624311639E-4</v>
      </c>
      <c r="L214" s="3" cm="1">
        <f t="array" aca="1" ref="L214" ca="1">thm_D_eff(C214,qi,Di,bi,bf,telf,bterm,tterm)</f>
        <v>7.684468398841271E-2</v>
      </c>
      <c r="M214" s="2" cm="1">
        <f t="array" aca="1" ref="M214" ca="1">thm_b(C214,qi,Di,bi,bf,telf,bterm,tterm)</f>
        <v>0</v>
      </c>
      <c r="N214" s="2" cm="1">
        <f t="array" aca="1" ref="N214" ca="1">thm_monthly_vol(C214,qi,Di,bi,bf,telf,bterm,tterm)</f>
        <v>1.0655571769575545E-3</v>
      </c>
      <c r="O214" s="2" cm="1">
        <f t="array" aca="1" ref="O214" ca="1">thm_cum($C214,qi,Di,bi,bf,telf,bterm,tterm)</f>
        <v>517.9375583013433</v>
      </c>
      <c r="Q214" cm="1">
        <f t="array" aca="1" ref="Q214" ca="1">thm_rate(C214,$F$3,$F$4,$F$5,$F$6,$F$7,$F$8,$F$9)</f>
        <v>3.4891536303776671E-2</v>
      </c>
      <c r="R214" s="2" cm="1">
        <f t="array" aca="1" ref="R214" ca="1">thm_cum($C214,$F$3,$F$4,$F$5,$F$6,$F$7,$F$8,$F$9)*$P$3/thm_cum($P$2,$F$3,$F$4,$F$5,$F$6,$F$7,$F$8,$F$9)</f>
        <v>494.62112436052541</v>
      </c>
    </row>
    <row r="215" spans="2:18" x14ac:dyDescent="0.25">
      <c r="B215" s="6" cm="1">
        <f t="array" ref="B215">B214+log_interval</f>
        <v>10.534326800447738</v>
      </c>
      <c r="C215" s="8">
        <f t="shared" si="12"/>
        <v>37583.740428843645</v>
      </c>
      <c r="D215" s="6">
        <f ca="1"/>
        <v>2.2021127784714489E-2</v>
      </c>
      <c r="E215" s="7">
        <f ca="1"/>
        <v>2.1891248624311639E-4</v>
      </c>
      <c r="F215" s="7">
        <f ca="1"/>
        <v>0</v>
      </c>
      <c r="G215" s="8">
        <f ca="1"/>
        <v>517.99635078385506</v>
      </c>
      <c r="H215" s="20">
        <f t="shared" ca="1" si="13"/>
        <v>458.37525905547847</v>
      </c>
      <c r="I215" s="2"/>
      <c r="J215" s="2" cm="1">
        <f t="array" aca="1" ref="J215" ca="1">thm_rate($C215,qi,Di,bi,bf,telf,bterm,tterm)</f>
        <v>2.2021127784714489E-2</v>
      </c>
      <c r="K215" s="2" cm="1">
        <f t="array" aca="1" ref="K215" ca="1">thm_D($C215,qi,Di,bi,bf,telf,bterm,tterm)</f>
        <v>2.1891248624311639E-4</v>
      </c>
      <c r="L215" s="3" cm="1">
        <f t="array" aca="1" ref="L215" ca="1">thm_D_eff(C215,qi,Di,bi,bf,telf,bterm,tterm)</f>
        <v>7.684468398841271E-2</v>
      </c>
      <c r="M215" s="2" cm="1">
        <f t="array" aca="1" ref="M215" ca="1">thm_b(C215,qi,Di,bi,bf,telf,bterm,tterm)</f>
        <v>0</v>
      </c>
      <c r="N215" s="2" cm="1">
        <f t="array" aca="1" ref="N215" ca="1">thm_monthly_vol(C215,qi,Di,bi,bf,telf,bterm,tterm)</f>
        <v>6.7250609288294072E-4</v>
      </c>
      <c r="O215" s="2" cm="1">
        <f t="array" aca="1" ref="O215" ca="1">thm_cum($C215,qi,Di,bi,bf,telf,bterm,tterm)</f>
        <v>517.99635078385506</v>
      </c>
      <c r="Q215" cm="1">
        <f t="array" aca="1" ref="Q215" ca="1">thm_rate(C215,$F$3,$F$4,$F$5,$F$6,$F$7,$F$8,$F$9)</f>
        <v>2.2021127784714489E-2</v>
      </c>
      <c r="R215" s="2" cm="1">
        <f t="array" aca="1" ref="R215" ca="1">thm_cum($C215,$F$3,$F$4,$F$5,$F$6,$F$7,$F$8,$F$9)*$P$3/thm_cum($P$2,$F$3,$F$4,$F$5,$F$6,$F$7,$F$8,$F$9)</f>
        <v>494.67955740878909</v>
      </c>
    </row>
    <row r="216" spans="2:18" x14ac:dyDescent="0.25">
      <c r="B216" s="6" cm="1">
        <f t="array" ref="B216">B215+log_interval</f>
        <v>10.591891427772589</v>
      </c>
      <c r="C216" s="8">
        <f t="shared" si="12"/>
        <v>39810.717055348898</v>
      </c>
      <c r="D216" s="6">
        <f ca="1"/>
        <v>1.3524317431006867E-2</v>
      </c>
      <c r="E216" s="7">
        <f ca="1"/>
        <v>2.1891248624311639E-4</v>
      </c>
      <c r="F216" s="7">
        <f ca="1"/>
        <v>0</v>
      </c>
      <c r="G216" s="8">
        <f ca="1"/>
        <v>518.03516451485564</v>
      </c>
      <c r="H216" s="20">
        <f t="shared" ca="1" si="13"/>
        <v>458.4096053476394</v>
      </c>
      <c r="I216" s="2"/>
      <c r="J216" s="2" cm="1">
        <f t="array" aca="1" ref="J216" ca="1">thm_rate($C216,qi,Di,bi,bf,telf,bterm,tterm)</f>
        <v>1.3524317431006867E-2</v>
      </c>
      <c r="K216" s="2" cm="1">
        <f t="array" aca="1" ref="K216" ca="1">thm_D($C216,qi,Di,bi,bf,telf,bterm,tterm)</f>
        <v>2.1891248624311639E-4</v>
      </c>
      <c r="L216" s="3" cm="1">
        <f t="array" aca="1" ref="L216" ca="1">thm_D_eff(C216,qi,Di,bi,bf,telf,bterm,tterm)</f>
        <v>7.684468398841271E-2</v>
      </c>
      <c r="M216" s="2" cm="1">
        <f t="array" aca="1" ref="M216" ca="1">thm_b(C216,qi,Di,bi,bf,telf,bterm,tterm)</f>
        <v>0</v>
      </c>
      <c r="N216" s="2" cm="1">
        <f t="array" aca="1" ref="N216" ca="1">thm_monthly_vol(C216,qi,Di,bi,bf,telf,bterm,tterm)</f>
        <v>4.1302089357486693E-4</v>
      </c>
      <c r="O216" s="2" cm="1">
        <f t="array" aca="1" ref="O216" ca="1">thm_cum($C216,qi,Di,bi,bf,telf,bterm,tterm)</f>
        <v>518.03516451485564</v>
      </c>
      <c r="Q216" cm="1">
        <f t="array" aca="1" ref="Q216" ca="1">thm_rate(C216,$F$3,$F$4,$F$5,$F$6,$F$7,$F$8,$F$9)</f>
        <v>1.3524317431006867E-2</v>
      </c>
      <c r="R216" s="2" cm="1">
        <f t="array" aca="1" ref="R216" ca="1">thm_cum($C216,$F$3,$F$4,$F$5,$F$6,$F$7,$F$8,$F$9)*$P$3/thm_cum($P$2,$F$3,$F$4,$F$5,$F$6,$F$7,$F$8,$F$9)</f>
        <v>494.71813384781603</v>
      </c>
    </row>
    <row r="217" spans="2:18" x14ac:dyDescent="0.25">
      <c r="B217" s="6" cm="1">
        <f t="array" ref="B217">B216+log_interval</f>
        <v>10.64945605509744</v>
      </c>
      <c r="C217" s="8">
        <f t="shared" si="12"/>
        <v>42169.650342857334</v>
      </c>
      <c r="D217" s="6">
        <f ca="1"/>
        <v>8.0694829161345755E-3</v>
      </c>
      <c r="E217" s="7">
        <f ca="1"/>
        <v>2.1891248624311639E-4</v>
      </c>
      <c r="F217" s="7">
        <f ca="1"/>
        <v>0</v>
      </c>
      <c r="G217" s="8">
        <f ca="1"/>
        <v>518.06008239235314</v>
      </c>
      <c r="H217" s="20">
        <f t="shared" ca="1" si="13"/>
        <v>458.43165519130287</v>
      </c>
      <c r="I217" s="2"/>
      <c r="J217" s="2" cm="1">
        <f t="array" aca="1" ref="J217" ca="1">thm_rate($C217,qi,Di,bi,bf,telf,bterm,tterm)</f>
        <v>8.0694829161345755E-3</v>
      </c>
      <c r="K217" s="2" cm="1">
        <f t="array" aca="1" ref="K217" ca="1">thm_D($C217,qi,Di,bi,bf,telf,bterm,tterm)</f>
        <v>2.1891248624311639E-4</v>
      </c>
      <c r="L217" s="3" cm="1">
        <f t="array" aca="1" ref="L217" ca="1">thm_D_eff(C217,qi,Di,bi,bf,telf,bterm,tterm)</f>
        <v>7.684468398841271E-2</v>
      </c>
      <c r="M217" s="2" cm="1">
        <f t="array" aca="1" ref="M217" ca="1">thm_b(C217,qi,Di,bi,bf,telf,bterm,tterm)</f>
        <v>0</v>
      </c>
      <c r="N217" s="2" cm="1">
        <f t="array" aca="1" ref="N217" ca="1">thm_monthly_vol(C217,qi,Di,bi,bf,telf,bterm,tterm)</f>
        <v>2.4643499102694477E-4</v>
      </c>
      <c r="O217" s="2" cm="1">
        <f t="array" aca="1" ref="O217" ca="1">thm_cum($C217,qi,Di,bi,bf,telf,bterm,tterm)</f>
        <v>518.06008239235314</v>
      </c>
      <c r="Q217" cm="1">
        <f t="array" aca="1" ref="Q217" ca="1">thm_rate(C217,$F$3,$F$4,$F$5,$F$6,$F$7,$F$8,$F$9)</f>
        <v>8.0694829161345755E-3</v>
      </c>
      <c r="R217" s="2" cm="1">
        <f t="array" aca="1" ref="R217" ca="1">thm_cum($C217,$F$3,$F$4,$F$5,$F$6,$F$7,$F$8,$F$9)*$P$3/thm_cum($P$2,$F$3,$F$4,$F$5,$F$6,$F$7,$F$8,$F$9)</f>
        <v>494.74289938715435</v>
      </c>
    </row>
    <row r="218" spans="2:18" x14ac:dyDescent="0.25">
      <c r="B218" s="6" cm="1">
        <f t="array" ref="B218">B217+log_interval</f>
        <v>10.707020682422291</v>
      </c>
      <c r="C218" s="8">
        <f t="shared" si="12"/>
        <v>44668.359215095363</v>
      </c>
      <c r="D218" s="6">
        <f ca="1"/>
        <v>4.6696813398812587E-3</v>
      </c>
      <c r="E218" s="7">
        <f ca="1"/>
        <v>2.1891248624311639E-4</v>
      </c>
      <c r="F218" s="7">
        <f ca="1"/>
        <v>0</v>
      </c>
      <c r="G218" s="8">
        <f ca="1"/>
        <v>518.07561280651362</v>
      </c>
      <c r="H218" s="20">
        <f t="shared" ca="1" si="13"/>
        <v>458.44539806343556</v>
      </c>
      <c r="I218" s="2"/>
      <c r="J218" s="2" cm="1">
        <f t="array" aca="1" ref="J218" ca="1">thm_rate($C218,qi,Di,bi,bf,telf,bterm,tterm)</f>
        <v>4.6696813398812587E-3</v>
      </c>
      <c r="K218" s="2" cm="1">
        <f t="array" aca="1" ref="K218" ca="1">thm_D($C218,qi,Di,bi,bf,telf,bterm,tterm)</f>
        <v>2.1891248624311639E-4</v>
      </c>
      <c r="L218" s="3" cm="1">
        <f t="array" aca="1" ref="L218" ca="1">thm_D_eff(C218,qi,Di,bi,bf,telf,bterm,tterm)</f>
        <v>7.684468398841271E-2</v>
      </c>
      <c r="M218" s="2" cm="1">
        <f t="array" aca="1" ref="M218" ca="1">thm_b(C218,qi,Di,bi,bf,telf,bterm,tterm)</f>
        <v>0</v>
      </c>
      <c r="N218" s="2" cm="1">
        <f t="array" aca="1" ref="N218" ca="1">thm_monthly_vol(C218,qi,Di,bi,bf,telf,bterm,tterm)</f>
        <v>1.4260800742249558E-4</v>
      </c>
      <c r="O218" s="2" cm="1">
        <f t="array" aca="1" ref="O218" ca="1">thm_cum($C218,qi,Di,bi,bf,telf,bterm,tterm)</f>
        <v>518.07561280651362</v>
      </c>
      <c r="Q218" cm="1">
        <f t="array" aca="1" ref="Q218" ca="1">thm_rate(C218,$F$3,$F$4,$F$5,$F$6,$F$7,$F$8,$F$9)</f>
        <v>4.6696813398812587E-3</v>
      </c>
      <c r="R218" s="2" cm="1">
        <f t="array" aca="1" ref="R218" ca="1">thm_cum($C218,$F$3,$F$4,$F$5,$F$6,$F$7,$F$8,$F$9)*$P$3/thm_cum($P$2,$F$3,$F$4,$F$5,$F$6,$F$7,$F$8,$F$9)</f>
        <v>494.75833485443553</v>
      </c>
    </row>
    <row r="219" spans="2:18" x14ac:dyDescent="0.25">
      <c r="B219" s="6" cm="1">
        <f t="array" ref="B219">B218+log_interval</f>
        <v>10.764585309747142</v>
      </c>
      <c r="C219" s="8">
        <f t="shared" si="12"/>
        <v>47315.12589614703</v>
      </c>
      <c r="D219" s="6">
        <f ca="1"/>
        <v>2.6160892739143723E-3</v>
      </c>
      <c r="E219" s="7">
        <f ca="1"/>
        <v>2.1891248624311639E-4</v>
      </c>
      <c r="F219" s="7">
        <f ca="1"/>
        <v>0</v>
      </c>
      <c r="G219" s="8">
        <f ca="1"/>
        <v>518.08499368789319</v>
      </c>
      <c r="H219" s="20">
        <f t="shared" ca="1" si="13"/>
        <v>458.45369921058852</v>
      </c>
      <c r="I219" s="2"/>
      <c r="J219" s="2" cm="1">
        <f t="array" aca="1" ref="J219" ca="1">thm_rate($C219,qi,Di,bi,bf,telf,bterm,tterm)</f>
        <v>2.6160892739143723E-3</v>
      </c>
      <c r="K219" s="2" cm="1">
        <f t="array" aca="1" ref="K219" ca="1">thm_D($C219,qi,Di,bi,bf,telf,bterm,tterm)</f>
        <v>2.1891248624311639E-4</v>
      </c>
      <c r="L219" s="3" cm="1">
        <f t="array" aca="1" ref="L219" ca="1">thm_D_eff(C219,qi,Di,bi,bf,telf,bterm,tterm)</f>
        <v>7.684468398841271E-2</v>
      </c>
      <c r="M219" s="2" cm="1">
        <f t="array" aca="1" ref="M219" ca="1">thm_b(C219,qi,Di,bi,bf,telf,bterm,tterm)</f>
        <v>0</v>
      </c>
      <c r="N219" s="2" cm="1">
        <f t="array" aca="1" ref="N219" ca="1">thm_monthly_vol(C219,qi,Di,bi,bf,telf,bterm,tterm)</f>
        <v>7.9893091424310114E-5</v>
      </c>
      <c r="O219" s="2" cm="1">
        <f t="array" aca="1" ref="O219" ca="1">thm_cum($C219,qi,Di,bi,bf,telf,bterm,tterm)</f>
        <v>518.08499368789319</v>
      </c>
      <c r="Q219" cm="1">
        <f t="array" aca="1" ref="Q219" ca="1">thm_rate(C219,$F$3,$F$4,$F$5,$F$6,$F$7,$F$8,$F$9)</f>
        <v>2.6160892739143723E-3</v>
      </c>
      <c r="R219" s="2" cm="1">
        <f t="array" aca="1" ref="R219" ca="1">thm_cum($C219,$F$3,$F$4,$F$5,$F$6,$F$7,$F$8,$F$9)*$P$3/thm_cum($P$2,$F$3,$F$4,$F$5,$F$6,$F$7,$F$8,$F$9)</f>
        <v>494.76765838477473</v>
      </c>
    </row>
    <row r="220" spans="2:18" x14ac:dyDescent="0.25">
      <c r="B220" s="6" cm="1">
        <f t="array" ref="B220">B219+log_interval</f>
        <v>10.822149937071993</v>
      </c>
      <c r="C220" s="8">
        <f t="shared" si="12"/>
        <v>50118.723362726138</v>
      </c>
      <c r="D220" s="6">
        <f ca="1"/>
        <v>1.4161445413590813E-3</v>
      </c>
      <c r="E220" s="7">
        <f ca="1"/>
        <v>2.1891248624311639E-4</v>
      </c>
      <c r="F220" s="7">
        <f ca="1"/>
        <v>0</v>
      </c>
      <c r="G220" s="8">
        <f ca="1"/>
        <v>518.09047507798266</v>
      </c>
      <c r="H220" s="20">
        <f t="shared" ca="1" si="13"/>
        <v>458.45854969572889</v>
      </c>
      <c r="I220" s="2"/>
      <c r="J220" s="2" cm="1">
        <f t="array" aca="1" ref="J220" ca="1">thm_rate($C220,qi,Di,bi,bf,telf,bterm,tterm)</f>
        <v>1.4161445413590813E-3</v>
      </c>
      <c r="K220" s="2" cm="1">
        <f t="array" aca="1" ref="K220" ca="1">thm_D($C220,qi,Di,bi,bf,telf,bterm,tterm)</f>
        <v>2.1891248624311639E-4</v>
      </c>
      <c r="L220" s="3" cm="1">
        <f t="array" aca="1" ref="L220" ca="1">thm_D_eff(C220,qi,Di,bi,bf,telf,bterm,tterm)</f>
        <v>7.684468398841271E-2</v>
      </c>
      <c r="M220" s="2" cm="1">
        <f t="array" aca="1" ref="M220" ca="1">thm_b(C220,qi,Di,bi,bf,telf,bterm,tterm)</f>
        <v>0</v>
      </c>
      <c r="N220" s="2" cm="1">
        <f t="array" aca="1" ref="N220" ca="1">thm_monthly_vol(C220,qi,Di,bi,bf,telf,bterm,tterm)</f>
        <v>4.3247822759440169E-5</v>
      </c>
      <c r="O220" s="2" cm="1">
        <f t="array" aca="1" ref="O220" ca="1">thm_cum($C220,qi,Di,bi,bf,telf,bterm,tterm)</f>
        <v>518.09047507798266</v>
      </c>
      <c r="Q220" cm="1">
        <f t="array" aca="1" ref="Q220" ca="1">thm_rate(C220,$F$3,$F$4,$F$5,$F$6,$F$7,$F$8,$F$9)</f>
        <v>1.4161445413590813E-3</v>
      </c>
      <c r="R220" s="2" cm="1">
        <f t="array" aca="1" ref="R220" ca="1">thm_cum($C220,$F$3,$F$4,$F$5,$F$6,$F$7,$F$8,$F$9)*$P$3/thm_cum($P$2,$F$3,$F$4,$F$5,$F$6,$F$7,$F$8,$F$9)</f>
        <v>494.77310626378858</v>
      </c>
    </row>
    <row r="221" spans="2:18" x14ac:dyDescent="0.25">
      <c r="B221" s="6" cm="1">
        <f t="array" ref="B221">B220+log_interval</f>
        <v>10.879714564396844</v>
      </c>
      <c r="C221" s="8">
        <f t="shared" si="12"/>
        <v>53088.444423097666</v>
      </c>
      <c r="D221" s="6">
        <f ca="1"/>
        <v>7.3921168327634125E-4</v>
      </c>
      <c r="E221" s="7">
        <f ca="1"/>
        <v>2.1891248624311639E-4</v>
      </c>
      <c r="F221" s="7">
        <f ca="1"/>
        <v>0</v>
      </c>
      <c r="G221" s="8">
        <f ca="1"/>
        <v>518.09356733128311</v>
      </c>
      <c r="H221" s="20">
        <f t="shared" ca="1" si="13"/>
        <v>458.46128603239515</v>
      </c>
      <c r="I221" s="2"/>
      <c r="J221" s="2" cm="1">
        <f t="array" aca="1" ref="J221" ca="1">thm_rate($C221,qi,Di,bi,bf,telf,bterm,tterm)</f>
        <v>7.3921168327634125E-4</v>
      </c>
      <c r="K221" s="2" cm="1">
        <f t="array" aca="1" ref="K221" ca="1">thm_D($C221,qi,Di,bi,bf,telf,bterm,tterm)</f>
        <v>2.1891248624311639E-4</v>
      </c>
      <c r="L221" s="3" cm="1">
        <f t="array" aca="1" ref="L221" ca="1">thm_D_eff(C221,qi,Di,bi,bf,telf,bterm,tterm)</f>
        <v>7.684468398841271E-2</v>
      </c>
      <c r="M221" s="2" cm="1">
        <f t="array" aca="1" ref="M221" ca="1">thm_b(C221,qi,Di,bi,bf,telf,bterm,tterm)</f>
        <v>0</v>
      </c>
      <c r="N221" s="2" cm="1">
        <f t="array" aca="1" ref="N221" ca="1">thm_monthly_vol(C221,qi,Di,bi,bf,telf,bterm,tterm)</f>
        <v>2.2574881995751639E-5</v>
      </c>
      <c r="O221" s="2" cm="1">
        <f t="array" aca="1" ref="O221" ca="1">thm_cum($C221,qi,Di,bi,bf,telf,bterm,tterm)</f>
        <v>518.09356733128311</v>
      </c>
      <c r="Q221" cm="1">
        <f t="array" aca="1" ref="Q221" ca="1">thm_rate(C221,$F$3,$F$4,$F$5,$F$6,$F$7,$F$8,$F$9)</f>
        <v>7.3921168327634125E-4</v>
      </c>
      <c r="R221" s="2" cm="1">
        <f t="array" aca="1" ref="R221" ca="1">thm_cum($C221,$F$3,$F$4,$F$5,$F$6,$F$7,$F$8,$F$9)*$P$3/thm_cum($P$2,$F$3,$F$4,$F$5,$F$6,$F$7,$F$8,$F$9)</f>
        <v>494.7761796122615</v>
      </c>
    </row>
    <row r="222" spans="2:18" x14ac:dyDescent="0.25">
      <c r="B222" s="6" cm="1">
        <f t="array" ref="B222">B221+log_interval</f>
        <v>10.937279191721695</v>
      </c>
      <c r="C222" s="8">
        <f t="shared" si="12"/>
        <v>56234.132519033657</v>
      </c>
      <c r="D222" s="6">
        <f ca="1"/>
        <v>3.7127904526993349E-4</v>
      </c>
      <c r="E222" s="7">
        <f ca="1"/>
        <v>2.1891248624311639E-4</v>
      </c>
      <c r="F222" s="7">
        <f ca="1"/>
        <v>0</v>
      </c>
      <c r="G222" s="8">
        <f ca="1"/>
        <v>518.09524806062075</v>
      </c>
      <c r="H222" s="20">
        <f t="shared" ca="1" si="13"/>
        <v>458.46277331072133</v>
      </c>
      <c r="I222" s="2"/>
      <c r="J222" s="2" cm="1">
        <f t="array" aca="1" ref="J222" ca="1">thm_rate($C222,qi,Di,bi,bf,telf,bterm,tterm)</f>
        <v>3.7127904526993349E-4</v>
      </c>
      <c r="K222" s="2" cm="1">
        <f t="array" aca="1" ref="K222" ca="1">thm_D($C222,qi,Di,bi,bf,telf,bterm,tterm)</f>
        <v>2.1891248624311639E-4</v>
      </c>
      <c r="L222" s="3" cm="1">
        <f t="array" aca="1" ref="L222" ca="1">thm_D_eff(C222,qi,Di,bi,bf,telf,bterm,tterm)</f>
        <v>7.684468398841271E-2</v>
      </c>
      <c r="M222" s="2" cm="1">
        <f t="array" aca="1" ref="M222" ca="1">thm_b(C222,qi,Di,bi,bf,telf,bterm,tterm)</f>
        <v>0</v>
      </c>
      <c r="N222" s="2" cm="1">
        <f t="array" aca="1" ref="N222" ca="1">thm_monthly_vol(C222,qi,Di,bi,bf,telf,bterm,tterm)</f>
        <v>1.1338539138705528E-5</v>
      </c>
      <c r="O222" s="2" cm="1">
        <f t="array" aca="1" ref="O222" ca="1">thm_cum($C222,qi,Di,bi,bf,telf,bterm,tterm)</f>
        <v>518.09524806062075</v>
      </c>
      <c r="Q222" cm="1">
        <f t="array" aca="1" ref="Q222" ca="1">thm_rate(C222,$F$3,$F$4,$F$5,$F$6,$F$7,$F$8,$F$9)</f>
        <v>3.7127904526993349E-4</v>
      </c>
      <c r="R222" s="2" cm="1">
        <f t="array" aca="1" ref="R222" ca="1">thm_cum($C222,$F$3,$F$4,$F$5,$F$6,$F$7,$F$8,$F$9)*$P$3/thm_cum($P$2,$F$3,$F$4,$F$5,$F$6,$F$7,$F$8,$F$9)</f>
        <v>494.77785006627721</v>
      </c>
    </row>
    <row r="223" spans="2:18" x14ac:dyDescent="0.25">
      <c r="B223" s="6" cm="1">
        <f t="array" ref="B223">B222+log_interval</f>
        <v>10.994843819046546</v>
      </c>
      <c r="C223" s="8">
        <f t="shared" si="12"/>
        <v>59566.214352899704</v>
      </c>
      <c r="D223" s="6">
        <f ca="1"/>
        <v>1.7902395162618665E-4</v>
      </c>
      <c r="E223" s="7">
        <f ca="1"/>
        <v>2.1891248624311639E-4</v>
      </c>
      <c r="F223" s="7">
        <f ca="1"/>
        <v>0</v>
      </c>
      <c r="G223" s="8">
        <f ca="1"/>
        <v>518.09612628870605</v>
      </c>
      <c r="H223" s="20">
        <f t="shared" ca="1" si="13"/>
        <v>458.46355045524268</v>
      </c>
      <c r="I223" s="2"/>
      <c r="J223" s="2" cm="1">
        <f t="array" aca="1" ref="J223" ca="1">thm_rate($C223,qi,Di,bi,bf,telf,bterm,tterm)</f>
        <v>1.7902395162618665E-4</v>
      </c>
      <c r="K223" s="2" cm="1">
        <f t="array" aca="1" ref="K223" ca="1">thm_D($C223,qi,Di,bi,bf,telf,bterm,tterm)</f>
        <v>2.1891248624311639E-4</v>
      </c>
      <c r="L223" s="3" cm="1">
        <f t="array" aca="1" ref="L223" ca="1">thm_D_eff(C223,qi,Di,bi,bf,telf,bterm,tterm)</f>
        <v>7.684468398841271E-2</v>
      </c>
      <c r="M223" s="2" cm="1">
        <f t="array" aca="1" ref="M223" ca="1">thm_b(C223,qi,Di,bi,bf,telf,bterm,tterm)</f>
        <v>0</v>
      </c>
      <c r="N223" s="2" cm="1">
        <f t="array" aca="1" ref="N223" ca="1">thm_monthly_vol(C223,qi,Di,bi,bf,telf,bterm,tterm)</f>
        <v>5.4672358373863972E-6</v>
      </c>
      <c r="O223" s="2" cm="1">
        <f t="array" aca="1" ref="O223" ca="1">thm_cum($C223,qi,Di,bi,bf,telf,bterm,tterm)</f>
        <v>518.09612628870605</v>
      </c>
      <c r="Q223" cm="1">
        <f t="array" aca="1" ref="Q223" ca="1">thm_rate(C223,$F$3,$F$4,$F$5,$F$6,$F$7,$F$8,$F$9)</f>
        <v>1.7902395162618665E-4</v>
      </c>
      <c r="R223" s="2" cm="1">
        <f t="array" aca="1" ref="R223" ca="1">thm_cum($C223,$F$3,$F$4,$F$5,$F$6,$F$7,$F$8,$F$9)*$P$3/thm_cum($P$2,$F$3,$F$4,$F$5,$F$6,$F$7,$F$8,$F$9)</f>
        <v>494.77872292521948</v>
      </c>
    </row>
    <row r="224" spans="2:18" x14ac:dyDescent="0.25">
      <c r="B224" s="6" cm="1">
        <f t="array" ref="B224">B223+log_interval</f>
        <v>11.052408446371397</v>
      </c>
      <c r="C224" s="8">
        <f t="shared" si="12"/>
        <v>63095.734448017887</v>
      </c>
      <c r="D224" s="6">
        <f ca="1"/>
        <v>8.2670562680789731E-5</v>
      </c>
      <c r="E224" s="7">
        <f ca="1"/>
        <v>2.1891248624311639E-4</v>
      </c>
      <c r="F224" s="7">
        <f ca="1"/>
        <v>0</v>
      </c>
      <c r="G224" s="8">
        <f ca="1"/>
        <v>518.09656643440348</v>
      </c>
      <c r="H224" s="20">
        <f t="shared" ca="1" si="13"/>
        <v>458.46393994041529</v>
      </c>
      <c r="I224" s="2"/>
      <c r="J224" s="2" cm="1">
        <f t="array" aca="1" ref="J224" ca="1">thm_rate($C224,qi,Di,bi,bf,telf,bterm,tterm)</f>
        <v>8.2670562680789731E-5</v>
      </c>
      <c r="K224" s="2" cm="1">
        <f t="array" aca="1" ref="K224" ca="1">thm_D($C224,qi,Di,bi,bf,telf,bterm,tterm)</f>
        <v>2.1891248624311639E-4</v>
      </c>
      <c r="L224" s="3" cm="1">
        <f t="array" aca="1" ref="L224" ca="1">thm_D_eff(C224,qi,Di,bi,bf,telf,bterm,tterm)</f>
        <v>7.684468398841271E-2</v>
      </c>
      <c r="M224" s="2" cm="1">
        <f t="array" aca="1" ref="M224" ca="1">thm_b(C224,qi,Di,bi,bf,telf,bterm,tterm)</f>
        <v>0</v>
      </c>
      <c r="N224" s="2" cm="1">
        <f t="array" aca="1" ref="N224" ca="1">thm_monthly_vol(C224,qi,Di,bi,bf,telf,bterm,tterm)</f>
        <v>2.5246870336559368E-6</v>
      </c>
      <c r="O224" s="2" cm="1">
        <f t="array" aca="1" ref="O224" ca="1">thm_cum($C224,qi,Di,bi,bf,telf,bterm,tterm)</f>
        <v>518.09656643440348</v>
      </c>
      <c r="Q224" cm="1">
        <f t="array" aca="1" ref="Q224" ca="1">thm_rate(C224,$F$3,$F$4,$F$5,$F$6,$F$7,$F$8,$F$9)</f>
        <v>8.2670562680789731E-5</v>
      </c>
      <c r="R224" s="2" cm="1">
        <f t="array" aca="1" ref="R224" ca="1">thm_cum($C224,$F$3,$F$4,$F$5,$F$6,$F$7,$F$8,$F$9)*$P$3/thm_cum($P$2,$F$3,$F$4,$F$5,$F$6,$F$7,$F$8,$F$9)</f>
        <v>494.77916038003821</v>
      </c>
    </row>
    <row r="225" spans="2:18" x14ac:dyDescent="0.25">
      <c r="B225" s="6" cm="1">
        <f t="array" ref="B225">B224+log_interval</f>
        <v>11.109973073696247</v>
      </c>
      <c r="C225" s="8">
        <f t="shared" si="12"/>
        <v>66834.391756859928</v>
      </c>
      <c r="D225" s="6">
        <f ca="1"/>
        <v>3.6467622746952111E-5</v>
      </c>
      <c r="E225" s="7">
        <f ca="1"/>
        <v>2.1891248624311639E-4</v>
      </c>
      <c r="F225" s="7">
        <f ca="1"/>
        <v>0</v>
      </c>
      <c r="G225" s="8">
        <f ca="1"/>
        <v>518.09677749107152</v>
      </c>
      <c r="H225" s="20">
        <f t="shared" ref="H225:H232" ca="1" si="14">$P$4*G225</f>
        <v>458.46412670457829</v>
      </c>
      <c r="I225" s="2"/>
      <c r="J225" s="2" cm="1">
        <f t="array" aca="1" ref="J225" ca="1">thm_rate($C225,qi,Di,bi,bf,telf,bterm,tterm)</f>
        <v>3.6467622746952111E-5</v>
      </c>
      <c r="K225" s="2" cm="1">
        <f t="array" aca="1" ref="K225" ca="1">thm_D($C225,qi,Di,bi,bf,telf,bterm,tterm)</f>
        <v>2.1891248624311639E-4</v>
      </c>
      <c r="L225" s="3" cm="1">
        <f t="array" aca="1" ref="L225" ca="1">thm_D_eff(C225,qi,Di,bi,bf,telf,bterm,tterm)</f>
        <v>7.684468398841271E-2</v>
      </c>
      <c r="M225" s="2" cm="1">
        <f t="array" aca="1" ref="M225" ca="1">thm_b(C225,qi,Di,bi,bf,telf,bterm,tterm)</f>
        <v>0</v>
      </c>
      <c r="N225" s="2" cm="1">
        <f t="array" aca="1" ref="N225" ca="1">thm_monthly_vol(C225,qi,Di,bi,bf,telf,bterm,tterm)</f>
        <v>1.1136894499941263E-6</v>
      </c>
      <c r="O225" s="2" cm="1">
        <f t="array" aca="1" ref="O225" ca="1">thm_cum($C225,qi,Di,bi,bf,telf,bterm,tterm)</f>
        <v>518.09677749107152</v>
      </c>
      <c r="Q225" cm="1">
        <f t="array" aca="1" ref="Q225" ca="1">thm_rate(C225,$F$3,$F$4,$F$5,$F$6,$F$7,$F$8,$F$9)</f>
        <v>3.6467622746952111E-5</v>
      </c>
      <c r="R225" s="2" cm="1">
        <f t="array" aca="1" ref="R225" ca="1">thm_cum($C225,$F$3,$F$4,$F$5,$F$6,$F$7,$F$8,$F$9)*$P$3/thm_cum($P$2,$F$3,$F$4,$F$5,$F$6,$F$7,$F$8,$F$9)</f>
        <v>494.77937014638826</v>
      </c>
    </row>
    <row r="226" spans="2:18" x14ac:dyDescent="0.25">
      <c r="B226" s="6" cm="1">
        <f t="array" ref="B226">B225+log_interval</f>
        <v>11.167537701021098</v>
      </c>
      <c r="C226" s="8">
        <f t="shared" si="12"/>
        <v>70794.578438412151</v>
      </c>
      <c r="D226" s="6">
        <f ca="1"/>
        <v>1.5325077002679935E-5</v>
      </c>
      <c r="E226" s="7">
        <f ca="1"/>
        <v>2.1891248624311639E-4</v>
      </c>
      <c r="F226" s="7">
        <f ca="1"/>
        <v>0</v>
      </c>
      <c r="G226" s="8">
        <f ca="1"/>
        <v>518.09687407097022</v>
      </c>
      <c r="H226" s="20">
        <f t="shared" ca="1" si="14"/>
        <v>458.46421216818436</v>
      </c>
      <c r="I226" s="2"/>
      <c r="J226" s="2" cm="1">
        <f t="array" aca="1" ref="J226" ca="1">thm_rate($C226,qi,Di,bi,bf,telf,bterm,tterm)</f>
        <v>1.5325077002679935E-5</v>
      </c>
      <c r="K226" s="2" cm="1">
        <f t="array" aca="1" ref="K226" ca="1">thm_D($C226,qi,Di,bi,bf,telf,bterm,tterm)</f>
        <v>2.1891248624311639E-4</v>
      </c>
      <c r="L226" s="3" cm="1">
        <f t="array" aca="1" ref="L226" ca="1">thm_D_eff(C226,qi,Di,bi,bf,telf,bterm,tterm)</f>
        <v>7.684468398841271E-2</v>
      </c>
      <c r="M226" s="2" cm="1">
        <f t="array" aca="1" ref="M226" ca="1">thm_b(C226,qi,Di,bi,bf,telf,bterm,tterm)</f>
        <v>0</v>
      </c>
      <c r="N226" s="2" cm="1">
        <f t="array" aca="1" ref="N226" ca="1">thm_monthly_vol(C226,qi,Di,bi,bf,telf,bterm,tterm)</f>
        <v>4.6801449116173899E-7</v>
      </c>
      <c r="O226" s="2" cm="1">
        <f t="array" aca="1" ref="O226" ca="1">thm_cum($C226,qi,Di,bi,bf,telf,bterm,tterm)</f>
        <v>518.09687407097022</v>
      </c>
      <c r="Q226" cm="1">
        <f t="array" aca="1" ref="Q226" ca="1">thm_rate(C226,$F$3,$F$4,$F$5,$F$6,$F$7,$F$8,$F$9)</f>
        <v>1.5325077002679935E-5</v>
      </c>
      <c r="R226" s="2" cm="1">
        <f t="array" aca="1" ref="R226" ca="1">thm_cum($C226,$F$3,$F$4,$F$5,$F$6,$F$7,$F$8,$F$9)*$P$3/thm_cum($P$2,$F$3,$F$4,$F$5,$F$6,$F$7,$F$8,$F$9)</f>
        <v>494.77946613583526</v>
      </c>
    </row>
    <row r="227" spans="2:18" x14ac:dyDescent="0.25">
      <c r="B227" s="6" cm="1">
        <f t="array" ref="B227">B226+log_interval</f>
        <v>11.225102328345949</v>
      </c>
      <c r="C227" s="8">
        <f t="shared" si="12"/>
        <v>74989.420933243819</v>
      </c>
      <c r="D227" s="6">
        <f ca="1"/>
        <v>6.1177054913637892E-6</v>
      </c>
      <c r="E227" s="7">
        <f ca="1"/>
        <v>2.1891248624311639E-4</v>
      </c>
      <c r="F227" s="7">
        <f ca="1"/>
        <v>0</v>
      </c>
      <c r="G227" s="8">
        <f ca="1"/>
        <v>518.09691613056975</v>
      </c>
      <c r="H227" s="20">
        <f t="shared" ca="1" si="14"/>
        <v>458.46424938674744</v>
      </c>
      <c r="I227" s="2"/>
      <c r="J227" s="2" cm="1">
        <f t="array" aca="1" ref="J227" ca="1">thm_rate($C227,qi,Di,bi,bf,telf,bterm,tterm)</f>
        <v>6.1177054913637892E-6</v>
      </c>
      <c r="K227" s="2" cm="1">
        <f t="array" aca="1" ref="K227" ca="1">thm_D($C227,qi,Di,bi,bf,telf,bterm,tterm)</f>
        <v>2.1891248624311639E-4</v>
      </c>
      <c r="L227" s="3" cm="1">
        <f t="array" aca="1" ref="L227" ca="1">thm_D_eff(C227,qi,Di,bi,bf,telf,bterm,tterm)</f>
        <v>7.684468398841271E-2</v>
      </c>
      <c r="M227" s="2" cm="1">
        <f t="array" aca="1" ref="M227" ca="1">thm_b(C227,qi,Di,bi,bf,telf,bterm,tterm)</f>
        <v>0</v>
      </c>
      <c r="N227" s="2" cm="1">
        <f t="array" aca="1" ref="N227" ca="1">thm_monthly_vol(C227,qi,Di,bi,bf,telf,bterm,tterm)</f>
        <v>1.8682931113289669E-7</v>
      </c>
      <c r="O227" s="2" cm="1">
        <f t="array" aca="1" ref="O227" ca="1">thm_cum($C227,qi,Di,bi,bf,telf,bterm,tterm)</f>
        <v>518.09691613056975</v>
      </c>
      <c r="Q227" cm="1">
        <f t="array" aca="1" ref="Q227" ca="1">thm_rate(C227,$F$3,$F$4,$F$5,$F$6,$F$7,$F$8,$F$9)</f>
        <v>6.1177054913637892E-6</v>
      </c>
      <c r="R227" s="2" cm="1">
        <f t="array" aca="1" ref="R227" ca="1">thm_cum($C227,$F$3,$F$4,$F$5,$F$6,$F$7,$F$8,$F$9)*$P$3/thm_cum($P$2,$F$3,$F$4,$F$5,$F$6,$F$7,$F$8,$F$9)</f>
        <v>494.77950793829882</v>
      </c>
    </row>
    <row r="228" spans="2:18" x14ac:dyDescent="0.25">
      <c r="B228" s="6" cm="1">
        <f t="array" ref="B228">B227+log_interval</f>
        <v>11.2826669556708</v>
      </c>
      <c r="C228" s="8">
        <f t="shared" si="12"/>
        <v>79432.823472426273</v>
      </c>
      <c r="D228" s="6">
        <f ca="1"/>
        <v>2.3128275168429108E-6</v>
      </c>
      <c r="E228" s="7">
        <f ca="1"/>
        <v>2.1891248624311639E-4</v>
      </c>
      <c r="F228" s="7">
        <f ca="1"/>
        <v>0</v>
      </c>
      <c r="G228" s="8">
        <f ca="1"/>
        <v>518.09693351138731</v>
      </c>
      <c r="H228" s="20">
        <f t="shared" ca="1" si="14"/>
        <v>458.46426476704255</v>
      </c>
      <c r="I228" s="2"/>
      <c r="J228" s="2" cm="1">
        <f t="array" aca="1" ref="J228" ca="1">thm_rate($C228,qi,Di,bi,bf,telf,bterm,tterm)</f>
        <v>2.3128275168429108E-6</v>
      </c>
      <c r="K228" s="2" cm="1">
        <f t="array" aca="1" ref="K228" ca="1">thm_D($C228,qi,Di,bi,bf,telf,bterm,tterm)</f>
        <v>2.1891248624311639E-4</v>
      </c>
      <c r="L228" s="3" cm="1">
        <f t="array" aca="1" ref="L228" ca="1">thm_D_eff(C228,qi,Di,bi,bf,telf,bterm,tterm)</f>
        <v>7.684468398841271E-2</v>
      </c>
      <c r="M228" s="2" cm="1">
        <f t="array" aca="1" ref="M228" ca="1">thm_b(C228,qi,Di,bi,bf,telf,bterm,tterm)</f>
        <v>0</v>
      </c>
      <c r="N228" s="2" cm="1">
        <f t="array" aca="1" ref="N228" ca="1">thm_monthly_vol(C228,qi,Di,bi,bf,telf,bterm,tterm)</f>
        <v>7.0631813287036493E-8</v>
      </c>
      <c r="O228" s="2" cm="1">
        <f t="array" aca="1" ref="O228" ca="1">thm_cum($C228,qi,Di,bi,bf,telf,bterm,tterm)</f>
        <v>518.09693351138731</v>
      </c>
      <c r="Q228" cm="1">
        <f t="array" aca="1" ref="Q228" ca="1">thm_rate(C228,$F$3,$F$4,$F$5,$F$6,$F$7,$F$8,$F$9)</f>
        <v>2.3128275168429108E-6</v>
      </c>
      <c r="R228" s="2" cm="1">
        <f t="array" aca="1" ref="R228" ca="1">thm_cum($C228,$F$3,$F$4,$F$5,$F$6,$F$7,$F$8,$F$9)*$P$3/thm_cum($P$2,$F$3,$F$4,$F$5,$F$6,$F$7,$F$8,$F$9)</f>
        <v>494.77952521285692</v>
      </c>
    </row>
    <row r="229" spans="2:18" x14ac:dyDescent="0.25">
      <c r="B229" s="6" cm="1">
        <f t="array" ref="B229">B228+log_interval</f>
        <v>11.340231582995651</v>
      </c>
      <c r="C229" s="8">
        <f t="shared" si="12"/>
        <v>84139.514164517488</v>
      </c>
      <c r="D229" s="6">
        <f ca="1"/>
        <v>8.2540380474099109E-7</v>
      </c>
      <c r="E229" s="7">
        <f ca="1"/>
        <v>2.1891248624311639E-4</v>
      </c>
      <c r="F229" s="7">
        <f ca="1"/>
        <v>0</v>
      </c>
      <c r="G229" s="8">
        <f ca="1"/>
        <v>518.09694030599155</v>
      </c>
      <c r="H229" s="20">
        <f t="shared" ca="1" si="14"/>
        <v>458.46427077959163</v>
      </c>
      <c r="I229" s="2"/>
      <c r="J229" s="2" cm="1">
        <f t="array" aca="1" ref="J229" ca="1">thm_rate($C229,qi,Di,bi,bf,telf,bterm,tterm)</f>
        <v>8.2540380474099109E-7</v>
      </c>
      <c r="K229" s="2" cm="1">
        <f t="array" aca="1" ref="K229" ca="1">thm_D($C229,qi,Di,bi,bf,telf,bterm,tterm)</f>
        <v>2.1891248624311639E-4</v>
      </c>
      <c r="L229" s="3" cm="1">
        <f t="array" aca="1" ref="L229" ca="1">thm_D_eff(C229,qi,Di,bi,bf,telf,bterm,tterm)</f>
        <v>7.684468398841271E-2</v>
      </c>
      <c r="M229" s="2" cm="1">
        <f t="array" aca="1" ref="M229" ca="1">thm_b(C229,qi,Di,bi,bf,telf,bterm,tterm)</f>
        <v>0</v>
      </c>
      <c r="N229" s="2" cm="1">
        <f t="array" aca="1" ref="N229" ca="1">thm_monthly_vol(C229,qi,Di,bi,bf,telf,bterm,tterm)</f>
        <v>2.5207100406987593E-8</v>
      </c>
      <c r="O229" s="2" cm="1">
        <f t="array" aca="1" ref="O229" ca="1">thm_cum($C229,qi,Di,bi,bf,telf,bterm,tterm)</f>
        <v>518.09694030599155</v>
      </c>
      <c r="Q229" cm="1">
        <f t="array" aca="1" ref="Q229" ca="1">thm_rate(C229,$F$3,$F$4,$F$5,$F$6,$F$7,$F$8,$F$9)</f>
        <v>8.2540380474099109E-7</v>
      </c>
      <c r="R229" s="2" cm="1">
        <f t="array" aca="1" ref="R229" ca="1">thm_cum($C229,$F$3,$F$4,$F$5,$F$6,$F$7,$F$8,$F$9)*$P$3/thm_cum($P$2,$F$3,$F$4,$F$5,$F$6,$F$7,$F$8,$F$9)</f>
        <v>494.77953196592159</v>
      </c>
    </row>
    <row r="230" spans="2:18" x14ac:dyDescent="0.25">
      <c r="B230" s="6" cm="1">
        <f t="array" ref="B230">B229+log_interval</f>
        <v>11.397796210320502</v>
      </c>
      <c r="C230" s="8">
        <f t="shared" si="12"/>
        <v>89125.093813372398</v>
      </c>
      <c r="D230" s="6">
        <f ca="1"/>
        <v>2.7712456287716769E-7</v>
      </c>
      <c r="E230" s="7">
        <f ca="1"/>
        <v>2.1891248624311639E-4</v>
      </c>
      <c r="F230" s="7">
        <f ca="1"/>
        <v>0</v>
      </c>
      <c r="G230" s="8">
        <f ca="1"/>
        <v>518.09694281055056</v>
      </c>
      <c r="H230" s="20">
        <f t="shared" ca="1" si="14"/>
        <v>458.46427299587725</v>
      </c>
      <c r="I230" s="2"/>
      <c r="J230" s="2" cm="1">
        <f t="array" aca="1" ref="J230" ca="1">thm_rate($C230,qi,Di,bi,bf,telf,bterm,tterm)</f>
        <v>2.7712456287716769E-7</v>
      </c>
      <c r="K230" s="2" cm="1">
        <f t="array" aca="1" ref="K230" ca="1">thm_D($C230,qi,Di,bi,bf,telf,bterm,tterm)</f>
        <v>2.1891248624311639E-4</v>
      </c>
      <c r="L230" s="3" cm="1">
        <f t="array" aca="1" ref="L230" ca="1">thm_D_eff(C230,qi,Di,bi,bf,telf,bterm,tterm)</f>
        <v>7.684468398841271E-2</v>
      </c>
      <c r="M230" s="2" cm="1">
        <f t="array" aca="1" ref="M230" ca="1">thm_b(C230,qi,Di,bi,bf,telf,bterm,tterm)</f>
        <v>0</v>
      </c>
      <c r="N230" s="2" cm="1">
        <f t="array" aca="1" ref="N230" ca="1">thm_monthly_vol(C230,qi,Di,bi,bf,telf,bterm,tterm)</f>
        <v>8.4631892605102621E-9</v>
      </c>
      <c r="O230" s="2" cm="1">
        <f t="array" aca="1" ref="O230" ca="1">thm_cum($C230,qi,Di,bi,bf,telf,bterm,tterm)</f>
        <v>518.09694281055056</v>
      </c>
      <c r="Q230" cm="1">
        <f t="array" aca="1" ref="Q230" ca="1">thm_rate(C230,$F$3,$F$4,$F$5,$F$6,$F$7,$F$8,$F$9)</f>
        <v>2.7712456287716769E-7</v>
      </c>
      <c r="R230" s="2" cm="1">
        <f t="array" aca="1" ref="R230" ca="1">thm_cum($C230,$F$3,$F$4,$F$5,$F$6,$F$7,$F$8,$F$9)*$P$3/thm_cum($P$2,$F$3,$F$4,$F$5,$F$6,$F$7,$F$8,$F$9)</f>
        <v>494.77953445516863</v>
      </c>
    </row>
    <row r="231" spans="2:18" x14ac:dyDescent="0.25">
      <c r="B231" s="6" cm="1">
        <f t="array" ref="B231">B230+log_interval</f>
        <v>11.455360837645353</v>
      </c>
      <c r="C231" s="8">
        <f t="shared" si="12"/>
        <v>94406.08762859003</v>
      </c>
      <c r="D231" s="6">
        <f ca="1"/>
        <v>8.721633179999443E-8</v>
      </c>
      <c r="E231" s="7">
        <f ca="1"/>
        <v>2.1891248624311639E-4</v>
      </c>
      <c r="F231" s="7">
        <f ca="1"/>
        <v>0</v>
      </c>
      <c r="G231" s="8">
        <f ca="1"/>
        <v>518.0969436780581</v>
      </c>
      <c r="H231" s="20">
        <f t="shared" ca="1" si="14"/>
        <v>458.46427376353518</v>
      </c>
      <c r="I231" s="2"/>
      <c r="J231" s="2" cm="1">
        <f t="array" aca="1" ref="J231" ca="1">thm_rate($C231,qi,Di,bi,bf,telf,bterm,tterm)</f>
        <v>8.721633179999443E-8</v>
      </c>
      <c r="K231" s="2" cm="1">
        <f t="array" aca="1" ref="K231" ca="1">thm_D($C231,qi,Di,bi,bf,telf,bterm,tterm)</f>
        <v>2.1891248624311639E-4</v>
      </c>
      <c r="L231" s="3" cm="1">
        <f t="array" aca="1" ref="L231" ca="1">thm_D_eff(C231,qi,Di,bi,bf,telf,bterm,tterm)</f>
        <v>7.684468398841271E-2</v>
      </c>
      <c r="M231" s="2" cm="1">
        <f t="array" aca="1" ref="M231" ca="1">thm_b(C231,qi,Di,bi,bf,telf,bterm,tterm)</f>
        <v>0</v>
      </c>
      <c r="N231" s="2" cm="1">
        <f t="array" aca="1" ref="N231" ca="1">thm_monthly_vol(C231,qi,Di,bi,bf,telf,bterm,tterm)</f>
        <v>2.6634552341420203E-9</v>
      </c>
      <c r="O231" s="2" cm="1">
        <f t="array" aca="1" ref="O231" ca="1">thm_cum($C231,qi,Di,bi,bf,telf,bterm,tterm)</f>
        <v>518.0969436780581</v>
      </c>
      <c r="Q231" cm="1">
        <f t="array" aca="1" ref="Q231" ca="1">thm_rate(C231,$F$3,$F$4,$F$5,$F$6,$F$7,$F$8,$F$9)</f>
        <v>8.721633179999443E-8</v>
      </c>
      <c r="R231" s="2" cm="1">
        <f t="array" aca="1" ref="R231" ca="1">thm_cum($C231,$F$3,$F$4,$F$5,$F$6,$F$7,$F$8,$F$9)*$P$3/thm_cum($P$2,$F$3,$F$4,$F$5,$F$6,$F$7,$F$8,$F$9)</f>
        <v>494.77953531737262</v>
      </c>
    </row>
    <row r="232" spans="2:18" x14ac:dyDescent="0.25">
      <c r="B232" s="9" cm="1">
        <f t="array" ref="B232">B231+log_interval</f>
        <v>11.512925464970204</v>
      </c>
      <c r="C232" s="11">
        <f t="shared" si="12"/>
        <v>99999.999999997526</v>
      </c>
      <c r="D232" s="9">
        <f ca="1"/>
        <v>2.5631302017477046E-8</v>
      </c>
      <c r="E232" s="10">
        <f ca="1"/>
        <v>2.1891248624311639E-4</v>
      </c>
      <c r="F232" s="10">
        <f ca="1"/>
        <v>0</v>
      </c>
      <c r="G232" s="11">
        <f ca="1"/>
        <v>518.09694395938072</v>
      </c>
      <c r="H232" s="21">
        <f t="shared" ca="1" si="14"/>
        <v>458.46427401247774</v>
      </c>
      <c r="I232" s="2"/>
      <c r="J232" s="2" cm="1">
        <f t="array" aca="1" ref="J232" ca="1">thm_rate($C232,qi,Di,bi,bf,telf,bterm,tterm)</f>
        <v>2.5631302017477046E-8</v>
      </c>
      <c r="K232" s="2" cm="1">
        <f t="array" aca="1" ref="K232" ca="1">thm_D($C232,qi,Di,bi,bf,telf,bterm,tterm)</f>
        <v>2.1891248624311639E-4</v>
      </c>
      <c r="L232" s="3" cm="1">
        <f t="array" aca="1" ref="L232" ca="1">thm_D_eff(C232,qi,Di,bi,bf,telf,bterm,tterm)</f>
        <v>7.684468398841271E-2</v>
      </c>
      <c r="M232" s="2" cm="1">
        <f t="array" aca="1" ref="M232" ca="1">thm_b(C232,qi,Di,bi,bf,telf,bterm,tterm)</f>
        <v>0</v>
      </c>
      <c r="N232" s="2" cm="1">
        <f t="array" aca="1" ref="N232" ca="1">thm_monthly_vol(C232,qi,Di,bi,bf,telf,bterm,tterm)</f>
        <v>7.8273387771332636E-10</v>
      </c>
      <c r="O232" s="2" cm="1">
        <f t="array" aca="1" ref="O232" ca="1">thm_cum($C232,qi,Di,bi,bf,telf,bterm,tterm)</f>
        <v>518.09694395938072</v>
      </c>
      <c r="Q232" cm="1">
        <f t="array" aca="1" ref="Q232" ca="1">thm_rate(C232,$F$3,$F$4,$F$5,$F$6,$F$7,$F$8,$F$9)</f>
        <v>2.5631302017477046E-8</v>
      </c>
      <c r="R232" s="2" cm="1">
        <f t="array" aca="1" ref="R232" ca="1">thm_cum($C232,$F$3,$F$4,$F$5,$F$6,$F$7,$F$8,$F$9)*$P$3/thm_cum($P$2,$F$3,$F$4,$F$5,$F$6,$F$7,$F$8,$F$9)</f>
        <v>494.77953559697534</v>
      </c>
    </row>
  </sheetData>
  <mergeCells count="11">
    <mergeCell ref="M2:O2"/>
    <mergeCell ref="M11:O11"/>
    <mergeCell ref="M6:O6"/>
    <mergeCell ref="M8:O8"/>
    <mergeCell ref="M10:O10"/>
    <mergeCell ref="C11:D11"/>
    <mergeCell ref="M3:O3"/>
    <mergeCell ref="M4:O4"/>
    <mergeCell ref="M5:O5"/>
    <mergeCell ref="M7:O7"/>
    <mergeCell ref="M9:O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Tests</vt:lpstr>
      <vt:lpstr>bf</vt:lpstr>
      <vt:lpstr>bi</vt:lpstr>
      <vt:lpstr>bterm</vt:lpstr>
      <vt:lpstr>Di</vt:lpstr>
      <vt:lpstr>ModelTime</vt:lpstr>
      <vt:lpstr>qi</vt:lpstr>
      <vt:lpstr>telf</vt:lpstr>
      <vt:lpstr>tterm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Fulford</dc:creator>
  <cp:lastModifiedBy>David Fulford</cp:lastModifiedBy>
  <dcterms:created xsi:type="dcterms:W3CDTF">2021-08-14T14:52:26Z</dcterms:created>
  <dcterms:modified xsi:type="dcterms:W3CDTF">2021-08-14T20:18:11Z</dcterms:modified>
</cp:coreProperties>
</file>