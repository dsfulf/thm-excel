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David-PC\Projects\thm-excel\"/>
    </mc:Choice>
  </mc:AlternateContent>
  <xr:revisionPtr revIDLastSave="0" documentId="13_ncr:1_{970E60E5-A507-45C0-9EED-712AE413951F}" xr6:coauthVersionLast="47" xr6:coauthVersionMax="47" xr10:uidLastSave="{00000000-0000-0000-0000-000000000000}"/>
  <bookViews>
    <workbookView xWindow="28680" yWindow="-120" windowWidth="29040" windowHeight="15840" xr2:uid="{94DEF6B1-1413-4921-B128-8F20631BED37}"/>
  </bookViews>
  <sheets>
    <sheet name="Tests" sheetId="1" r:id="rId1"/>
  </sheets>
  <functionGroups builtInGroupCount="19"/>
  <definedNames>
    <definedName name="_xlchart.v1.0" hidden="1">Tests!$C$30:$C$130</definedName>
    <definedName name="_xlchart.v1.1" hidden="1">Tests!$D$30:$D$130</definedName>
    <definedName name="bf">Tests!$E$6</definedName>
    <definedName name="bi">Tests!$E$5</definedName>
    <definedName name="bterm">Tests!$E$8</definedName>
    <definedName name="DaysPerMonth">DaysPerYear/12</definedName>
    <definedName name="DaysPerYear">365.25</definedName>
    <definedName name="Di">Tests!$E$4</definedName>
    <definedName name="log_interval">LN(100000) / 200</definedName>
    <definedName name="ModelTime">Tests!$C$30:$C$229</definedName>
    <definedName name="qi">Tests!$E$3</definedName>
    <definedName name="telf">Tests!$E$7</definedName>
    <definedName name="tterm">Tests!$E$9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" l="1"/>
  <c r="F8" i="1"/>
  <c r="I8" i="1"/>
  <c r="P30" i="1" a="1"/>
  <c r="P30" i="1" s="1"/>
  <c r="E4" i="1"/>
  <c r="E3" i="1"/>
  <c r="E7" i="1"/>
  <c r="I2" i="1" s="1"/>
  <c r="E6" i="1"/>
  <c r="F6" i="1" s="1"/>
  <c r="Y32" i="1"/>
  <c r="Y31" i="1"/>
  <c r="Y30" i="1"/>
  <c r="U30" i="1" a="1"/>
  <c r="U30" i="1" s="1"/>
  <c r="V30" i="1"/>
  <c r="W30" i="1" s="1"/>
  <c r="X30" i="1" s="1"/>
  <c r="B30" i="1" a="1"/>
  <c r="B30" i="1" s="1"/>
  <c r="B31" i="1" s="1" a="1"/>
  <c r="B31" i="1" s="1"/>
  <c r="B32" i="1" s="1" a="1"/>
  <c r="B32" i="1" s="1"/>
  <c r="B33" i="1" s="1" a="1"/>
  <c r="B33" i="1" s="1"/>
  <c r="B34" i="1" s="1" a="1"/>
  <c r="B34" i="1" s="1"/>
  <c r="B35" i="1" s="1" a="1"/>
  <c r="B35" i="1" s="1"/>
  <c r="B36" i="1" s="1" a="1"/>
  <c r="B36" i="1" s="1"/>
  <c r="B37" i="1" s="1" a="1"/>
  <c r="B37" i="1" s="1"/>
  <c r="B38" i="1" s="1" a="1"/>
  <c r="B38" i="1" s="1"/>
  <c r="B39" i="1" s="1" a="1"/>
  <c r="B39" i="1" s="1"/>
  <c r="B40" i="1" s="1" a="1"/>
  <c r="B40" i="1" s="1"/>
  <c r="B41" i="1" s="1" a="1"/>
  <c r="B41" i="1" s="1"/>
  <c r="B42" i="1" s="1" a="1"/>
  <c r="B42" i="1" s="1"/>
  <c r="B43" i="1" s="1" a="1"/>
  <c r="B43" i="1" s="1"/>
  <c r="B44" i="1" s="1" a="1"/>
  <c r="B44" i="1" s="1"/>
  <c r="B45" i="1" s="1" a="1"/>
  <c r="B45" i="1" s="1"/>
  <c r="B46" i="1" s="1" a="1"/>
  <c r="B46" i="1" s="1"/>
  <c r="B47" i="1" s="1" a="1"/>
  <c r="B47" i="1" s="1"/>
  <c r="B48" i="1" s="1" a="1"/>
  <c r="B48" i="1" s="1"/>
  <c r="B49" i="1" s="1" a="1"/>
  <c r="B49" i="1" s="1"/>
  <c r="B50" i="1" s="1" a="1"/>
  <c r="B50" i="1" s="1"/>
  <c r="B51" i="1" s="1" a="1"/>
  <c r="B51" i="1" s="1"/>
  <c r="B52" i="1" s="1" a="1"/>
  <c r="B52" i="1" s="1"/>
  <c r="B53" i="1" s="1" a="1"/>
  <c r="B53" i="1" s="1"/>
  <c r="B54" i="1" s="1" a="1"/>
  <c r="B54" i="1" s="1"/>
  <c r="B55" i="1" s="1" a="1"/>
  <c r="B55" i="1" s="1"/>
  <c r="B56" i="1" s="1" a="1"/>
  <c r="B56" i="1" s="1"/>
  <c r="B57" i="1" s="1" a="1"/>
  <c r="B57" i="1" s="1"/>
  <c r="B58" i="1" s="1" a="1"/>
  <c r="B58" i="1" s="1"/>
  <c r="B59" i="1" s="1" a="1"/>
  <c r="B59" i="1" s="1"/>
  <c r="B60" i="1" s="1" a="1"/>
  <c r="B60" i="1" s="1"/>
  <c r="B61" i="1" s="1" a="1"/>
  <c r="B61" i="1" s="1"/>
  <c r="B62" i="1" s="1" a="1"/>
  <c r="B62" i="1" s="1"/>
  <c r="B63" i="1" s="1" a="1"/>
  <c r="B63" i="1" s="1"/>
  <c r="B64" i="1" s="1" a="1"/>
  <c r="B64" i="1" s="1"/>
  <c r="B65" i="1" s="1" a="1"/>
  <c r="B65" i="1" s="1"/>
  <c r="B66" i="1" s="1" a="1"/>
  <c r="B66" i="1" s="1"/>
  <c r="B67" i="1" s="1" a="1"/>
  <c r="B67" i="1" s="1"/>
  <c r="B68" i="1" s="1" a="1"/>
  <c r="B68" i="1" s="1"/>
  <c r="B69" i="1" s="1" a="1"/>
  <c r="B69" i="1" s="1"/>
  <c r="B70" i="1" s="1" a="1"/>
  <c r="B70" i="1" s="1"/>
  <c r="B71" i="1" s="1" a="1"/>
  <c r="B71" i="1" s="1"/>
  <c r="B72" i="1" s="1" a="1"/>
  <c r="B72" i="1" s="1"/>
  <c r="B73" i="1" s="1" a="1"/>
  <c r="B73" i="1" s="1"/>
  <c r="B74" i="1" s="1" a="1"/>
  <c r="B74" i="1" s="1"/>
  <c r="B75" i="1" s="1" a="1"/>
  <c r="B75" i="1" s="1"/>
  <c r="B76" i="1" s="1" a="1"/>
  <c r="B76" i="1" s="1"/>
  <c r="B77" i="1" s="1" a="1"/>
  <c r="B77" i="1" s="1"/>
  <c r="B78" i="1" s="1" a="1"/>
  <c r="B78" i="1" s="1"/>
  <c r="B79" i="1" s="1" a="1"/>
  <c r="B79" i="1" s="1"/>
  <c r="B80" i="1" s="1" a="1"/>
  <c r="B80" i="1" s="1"/>
  <c r="B81" i="1" s="1" a="1"/>
  <c r="B81" i="1" s="1"/>
  <c r="B82" i="1" s="1" a="1"/>
  <c r="B82" i="1" s="1"/>
  <c r="B83" i="1" s="1" a="1"/>
  <c r="B83" i="1" s="1"/>
  <c r="B84" i="1" s="1" a="1"/>
  <c r="B84" i="1" s="1"/>
  <c r="B85" i="1" s="1" a="1"/>
  <c r="B85" i="1" s="1"/>
  <c r="B86" i="1" s="1" a="1"/>
  <c r="B86" i="1" s="1"/>
  <c r="B87" i="1" s="1" a="1"/>
  <c r="B87" i="1" s="1"/>
  <c r="B88" i="1" s="1" a="1"/>
  <c r="B88" i="1" s="1"/>
  <c r="B89" i="1" s="1" a="1"/>
  <c r="B89" i="1" s="1"/>
  <c r="B90" i="1" s="1" a="1"/>
  <c r="B90" i="1" s="1"/>
  <c r="B91" i="1" s="1" a="1"/>
  <c r="B91" i="1" s="1"/>
  <c r="B92" i="1" s="1" a="1"/>
  <c r="B92" i="1" s="1"/>
  <c r="B93" i="1" s="1" a="1"/>
  <c r="B93" i="1" s="1"/>
  <c r="B94" i="1" s="1" a="1"/>
  <c r="B94" i="1" s="1"/>
  <c r="B95" i="1" s="1" a="1"/>
  <c r="B95" i="1" s="1"/>
  <c r="B96" i="1" s="1" a="1"/>
  <c r="B96" i="1" s="1"/>
  <c r="B97" i="1" s="1" a="1"/>
  <c r="B97" i="1" s="1"/>
  <c r="B98" i="1" s="1" a="1"/>
  <c r="B98" i="1" s="1"/>
  <c r="B99" i="1" s="1" a="1"/>
  <c r="B99" i="1" s="1"/>
  <c r="B100" i="1" s="1" a="1"/>
  <c r="B100" i="1" s="1"/>
  <c r="B101" i="1" s="1" a="1"/>
  <c r="B101" i="1" s="1"/>
  <c r="B102" i="1" s="1" a="1"/>
  <c r="B102" i="1" s="1"/>
  <c r="B103" i="1" s="1" a="1"/>
  <c r="B103" i="1" s="1"/>
  <c r="B104" i="1" s="1" a="1"/>
  <c r="B104" i="1" s="1"/>
  <c r="B105" i="1" s="1" a="1"/>
  <c r="B105" i="1" s="1"/>
  <c r="B106" i="1" s="1" a="1"/>
  <c r="B106" i="1" s="1"/>
  <c r="B107" i="1" s="1" a="1"/>
  <c r="B107" i="1" s="1"/>
  <c r="B108" i="1" s="1" a="1"/>
  <c r="B108" i="1" s="1"/>
  <c r="B109" i="1" s="1" a="1"/>
  <c r="B109" i="1" s="1"/>
  <c r="B110" i="1" s="1" a="1"/>
  <c r="B110" i="1" s="1"/>
  <c r="B111" i="1" s="1" a="1"/>
  <c r="B111" i="1" s="1"/>
  <c r="B112" i="1" s="1" a="1"/>
  <c r="B112" i="1" s="1"/>
  <c r="B113" i="1" s="1" a="1"/>
  <c r="B113" i="1" s="1"/>
  <c r="B114" i="1" s="1" a="1"/>
  <c r="B114" i="1" s="1"/>
  <c r="B115" i="1" s="1" a="1"/>
  <c r="B115" i="1" s="1"/>
  <c r="B116" i="1" s="1" a="1"/>
  <c r="B116" i="1" s="1"/>
  <c r="B117" i="1" s="1" a="1"/>
  <c r="B117" i="1" s="1"/>
  <c r="B118" i="1" s="1" a="1"/>
  <c r="B118" i="1" s="1"/>
  <c r="B119" i="1" s="1" a="1"/>
  <c r="B119" i="1" s="1"/>
  <c r="B120" i="1" s="1" a="1"/>
  <c r="B120" i="1" s="1"/>
  <c r="B121" i="1" s="1" a="1"/>
  <c r="B121" i="1" s="1"/>
  <c r="B122" i="1" s="1" a="1"/>
  <c r="B122" i="1" s="1"/>
  <c r="B123" i="1" s="1" a="1"/>
  <c r="B123" i="1" s="1"/>
  <c r="B124" i="1" s="1" a="1"/>
  <c r="B124" i="1" s="1"/>
  <c r="B125" i="1" s="1" a="1"/>
  <c r="B125" i="1" s="1"/>
  <c r="B126" i="1" s="1" a="1"/>
  <c r="B126" i="1" s="1"/>
  <c r="B127" i="1" s="1" a="1"/>
  <c r="B127" i="1" s="1"/>
  <c r="B128" i="1" s="1" a="1"/>
  <c r="B128" i="1" s="1"/>
  <c r="B129" i="1" s="1" a="1"/>
  <c r="B129" i="1" s="1"/>
  <c r="B130" i="1" s="1" a="1"/>
  <c r="B130" i="1" s="1"/>
  <c r="B131" i="1" s="1" a="1"/>
  <c r="B131" i="1" s="1"/>
  <c r="AD31" i="1" a="1"/>
  <c r="AD35" i="1" a="1"/>
  <c r="AD39" i="1" a="1"/>
  <c r="AD43" i="1" a="1"/>
  <c r="AD47" i="1" a="1"/>
  <c r="AD51" i="1" a="1"/>
  <c r="AD55" i="1" a="1"/>
  <c r="AD59" i="1" a="1"/>
  <c r="AD63" i="1" a="1"/>
  <c r="AD44" i="1" a="1"/>
  <c r="AD60" i="1" a="1"/>
  <c r="AD37" i="1" a="1"/>
  <c r="AD41" i="1" a="1"/>
  <c r="AD49" i="1" a="1"/>
  <c r="AD57" i="1" a="1"/>
  <c r="AD61" i="1" a="1"/>
  <c r="AD50" i="1" a="1"/>
  <c r="AD32" i="1" a="1"/>
  <c r="AD36" i="1" a="1"/>
  <c r="AD40" i="1" a="1"/>
  <c r="AD48" i="1" a="1"/>
  <c r="AD52" i="1" a="1"/>
  <c r="AD56" i="1" a="1"/>
  <c r="AD54" i="1" a="1"/>
  <c r="AD33" i="1" a="1"/>
  <c r="AD45" i="1" a="1"/>
  <c r="AD53" i="1" a="1"/>
  <c r="AD62" i="1" a="1"/>
  <c r="AD34" i="1" a="1"/>
  <c r="AD38" i="1" a="1"/>
  <c r="AD42" i="1" a="1"/>
  <c r="AD46" i="1" a="1"/>
  <c r="AD58" i="1" a="1"/>
  <c r="AD30" i="1" a="1"/>
  <c r="AC31" i="1" a="1"/>
  <c r="AC35" i="1" a="1"/>
  <c r="AC39" i="1" a="1"/>
  <c r="AC43" i="1" a="1"/>
  <c r="AC47" i="1" a="1"/>
  <c r="AC51" i="1" a="1"/>
  <c r="AC55" i="1" a="1"/>
  <c r="AC59" i="1" a="1"/>
  <c r="AC63" i="1" a="1"/>
  <c r="AC48" i="1" a="1"/>
  <c r="AC34" i="1" a="1"/>
  <c r="AC50" i="1" a="1"/>
  <c r="AC58" i="1" a="1"/>
  <c r="AC32" i="1" a="1"/>
  <c r="AC36" i="1" a="1"/>
  <c r="AC40" i="1" a="1"/>
  <c r="AC44" i="1" a="1"/>
  <c r="AC52" i="1" a="1"/>
  <c r="AC56" i="1" a="1"/>
  <c r="AC60" i="1" a="1"/>
  <c r="AC57" i="1" a="1"/>
  <c r="AC45" i="1" a="1"/>
  <c r="AC61" i="1" a="1"/>
  <c r="AC38" i="1" a="1"/>
  <c r="AC46" i="1" a="1"/>
  <c r="AC62" i="1" a="1"/>
  <c r="AC33" i="1" a="1"/>
  <c r="AC37" i="1" a="1"/>
  <c r="AC41" i="1" a="1"/>
  <c r="AC49" i="1" a="1"/>
  <c r="AC53" i="1" a="1"/>
  <c r="AC42" i="1" a="1"/>
  <c r="AC54" i="1" a="1"/>
  <c r="AC30" i="1" a="1"/>
  <c r="I9" i="1" a="1"/>
  <c r="I6" i="1" a="1"/>
  <c r="Z30" i="1" a="1"/>
  <c r="AD58" i="1" l="1"/>
  <c r="AD46" i="1"/>
  <c r="AD42" i="1"/>
  <c r="AD38" i="1"/>
  <c r="AD34" i="1"/>
  <c r="AD62" i="1"/>
  <c r="AD53" i="1"/>
  <c r="AD45" i="1"/>
  <c r="AD33" i="1"/>
  <c r="AD54" i="1"/>
  <c r="AD56" i="1"/>
  <c r="AD52" i="1"/>
  <c r="AD48" i="1"/>
  <c r="AD40" i="1"/>
  <c r="AD36" i="1"/>
  <c r="AD32" i="1"/>
  <c r="AD50" i="1"/>
  <c r="AD61" i="1"/>
  <c r="AD57" i="1"/>
  <c r="AD49" i="1"/>
  <c r="AD41" i="1"/>
  <c r="AD37" i="1"/>
  <c r="AD60" i="1"/>
  <c r="AD44" i="1"/>
  <c r="AD63" i="1"/>
  <c r="AD59" i="1"/>
  <c r="AD55" i="1"/>
  <c r="AD51" i="1"/>
  <c r="AD47" i="1"/>
  <c r="AD43" i="1"/>
  <c r="AD39" i="1"/>
  <c r="AD35" i="1"/>
  <c r="AD31" i="1"/>
  <c r="AD30" i="1"/>
  <c r="AC54" i="1"/>
  <c r="AC42" i="1"/>
  <c r="AC53" i="1"/>
  <c r="AC49" i="1"/>
  <c r="AC41" i="1"/>
  <c r="AC37" i="1"/>
  <c r="AC33" i="1"/>
  <c r="AC62" i="1"/>
  <c r="AC46" i="1"/>
  <c r="AC38" i="1"/>
  <c r="AC61" i="1"/>
  <c r="AC45" i="1"/>
  <c r="AC57" i="1"/>
  <c r="AC60" i="1"/>
  <c r="AC56" i="1"/>
  <c r="AC52" i="1"/>
  <c r="AC44" i="1"/>
  <c r="AC40" i="1"/>
  <c r="AC36" i="1"/>
  <c r="AC32" i="1"/>
  <c r="AC58" i="1"/>
  <c r="AC50" i="1"/>
  <c r="AC34" i="1"/>
  <c r="AC48" i="1"/>
  <c r="AC63" i="1"/>
  <c r="AC59" i="1"/>
  <c r="AC55" i="1"/>
  <c r="AC51" i="1"/>
  <c r="AC47" i="1"/>
  <c r="AC43" i="1"/>
  <c r="AC39" i="1"/>
  <c r="AC35" i="1"/>
  <c r="AC31" i="1"/>
  <c r="AC30" i="1"/>
  <c r="I9" i="1"/>
  <c r="I6" i="1"/>
  <c r="F5" i="1"/>
  <c r="Z30" i="1"/>
  <c r="C131" i="1"/>
  <c r="B132" i="1" a="1"/>
  <c r="B132" i="1" s="1"/>
  <c r="U31" i="1" a="1"/>
  <c r="U31" i="1" s="1"/>
  <c r="V31" i="1"/>
  <c r="C30" i="1"/>
  <c r="L30" i="1" a="1"/>
  <c r="J30" i="1" a="1"/>
  <c r="K30" i="1" a="1"/>
  <c r="J131" i="1" a="1"/>
  <c r="K131" i="1" a="1"/>
  <c r="N131" i="1" a="1"/>
  <c r="O131" i="1" a="1"/>
  <c r="N30" i="1" a="1"/>
  <c r="O30" i="1" a="1"/>
  <c r="F3" i="1" a="1"/>
  <c r="F4" i="1" a="1"/>
  <c r="L131" i="1" a="1"/>
  <c r="M131" i="1" a="1"/>
  <c r="M30" i="1" a="1"/>
  <c r="K131" i="1" l="1"/>
  <c r="J131" i="1"/>
  <c r="K30" i="1"/>
  <c r="J30" i="1"/>
  <c r="L30" i="1"/>
  <c r="O30" i="1"/>
  <c r="N30" i="1"/>
  <c r="O131" i="1"/>
  <c r="N131" i="1"/>
  <c r="F3" i="1"/>
  <c r="F4" i="1"/>
  <c r="AA30" i="1"/>
  <c r="AB30" i="1" a="1"/>
  <c r="AB30" i="1" s="1"/>
  <c r="M131" i="1"/>
  <c r="L131" i="1"/>
  <c r="C132" i="1"/>
  <c r="B133" i="1" a="1"/>
  <c r="B133" i="1" s="1"/>
  <c r="U32" i="1" a="1"/>
  <c r="U32" i="1" s="1"/>
  <c r="W31" i="1"/>
  <c r="X31" i="1" s="1"/>
  <c r="M30" i="1"/>
  <c r="C31" i="1"/>
  <c r="J132" i="1" a="1"/>
  <c r="K132" i="1" a="1"/>
  <c r="J31" i="1" a="1"/>
  <c r="K31" i="1" a="1"/>
  <c r="AF30" i="1" a="1"/>
  <c r="AE30" i="1" a="1"/>
  <c r="N31" i="1" a="1"/>
  <c r="O31" i="1" a="1"/>
  <c r="N132" i="1" a="1"/>
  <c r="O132" i="1" a="1"/>
  <c r="Z31" i="1" a="1"/>
  <c r="L132" i="1" a="1"/>
  <c r="M132" i="1" a="1"/>
  <c r="L31" i="1" a="1"/>
  <c r="M31" i="1" a="1"/>
  <c r="K31" i="1" l="1"/>
  <c r="J31" i="1"/>
  <c r="K132" i="1"/>
  <c r="J132" i="1"/>
  <c r="AF30" i="1"/>
  <c r="AE30" i="1"/>
  <c r="O132" i="1"/>
  <c r="N132" i="1"/>
  <c r="O31" i="1"/>
  <c r="N31" i="1"/>
  <c r="Z31" i="1"/>
  <c r="M132" i="1"/>
  <c r="L132" i="1"/>
  <c r="B134" i="1" a="1"/>
  <c r="B134" i="1" s="1"/>
  <c r="C133" i="1"/>
  <c r="U33" i="1" a="1"/>
  <c r="U33" i="1" s="1"/>
  <c r="V32" i="1"/>
  <c r="W32" i="1" s="1"/>
  <c r="X32" i="1" s="1"/>
  <c r="M31" i="1"/>
  <c r="L31" i="1"/>
  <c r="C32" i="1"/>
  <c r="J32" i="1" a="1"/>
  <c r="K32" i="1" a="1"/>
  <c r="J133" i="1" a="1"/>
  <c r="K133" i="1" a="1"/>
  <c r="N133" i="1" a="1"/>
  <c r="O133" i="1" a="1"/>
  <c r="N32" i="1" a="1"/>
  <c r="O32" i="1" a="1"/>
  <c r="Q30" i="1" a="1"/>
  <c r="Q133" i="1" a="1"/>
  <c r="Q132" i="1" a="1"/>
  <c r="Q131" i="1" a="1"/>
  <c r="Q32" i="1" a="1"/>
  <c r="Q31" i="1" a="1"/>
  <c r="Z32" i="1" a="1"/>
  <c r="L133" i="1" a="1"/>
  <c r="M133" i="1" a="1"/>
  <c r="L32" i="1" a="1"/>
  <c r="M32" i="1" a="1"/>
  <c r="K133" i="1" l="1"/>
  <c r="J133" i="1"/>
  <c r="K32" i="1"/>
  <c r="J32" i="1"/>
  <c r="O32" i="1"/>
  <c r="N32" i="1"/>
  <c r="O133" i="1"/>
  <c r="N133" i="1"/>
  <c r="AB31" i="1" a="1"/>
  <c r="AB31" i="1" s="1"/>
  <c r="Q31" i="1"/>
  <c r="Q32" i="1"/>
  <c r="Q131" i="1"/>
  <c r="Q132" i="1"/>
  <c r="Q133" i="1"/>
  <c r="Q30" i="1"/>
  <c r="AA31" i="1"/>
  <c r="Z32" i="1"/>
  <c r="AB32" i="1" s="1" a="1"/>
  <c r="AB32" i="1" s="1"/>
  <c r="M133" i="1"/>
  <c r="L133" i="1"/>
  <c r="B135" i="1" a="1"/>
  <c r="B135" i="1" s="1"/>
  <c r="C134" i="1"/>
  <c r="U34" i="1" a="1"/>
  <c r="U34" i="1" s="1"/>
  <c r="V33" i="1"/>
  <c r="W33" i="1" s="1"/>
  <c r="X33" i="1" s="1"/>
  <c r="M32" i="1"/>
  <c r="L32" i="1"/>
  <c r="C33" i="1"/>
  <c r="J33" i="1" a="1"/>
  <c r="K33" i="1" a="1"/>
  <c r="J134" i="1" a="1"/>
  <c r="K134" i="1" a="1"/>
  <c r="AF31" i="1" a="1"/>
  <c r="AE31" i="1" a="1"/>
  <c r="N134" i="1" a="1"/>
  <c r="O134" i="1" a="1"/>
  <c r="N33" i="1" a="1"/>
  <c r="O33" i="1" a="1"/>
  <c r="Q33" i="1" a="1"/>
  <c r="Q134" i="1" a="1"/>
  <c r="Z33" i="1" a="1"/>
  <c r="L134" i="1" a="1"/>
  <c r="M134" i="1" a="1"/>
  <c r="L33" i="1" a="1"/>
  <c r="M33" i="1" a="1"/>
  <c r="K134" i="1" l="1"/>
  <c r="J134" i="1"/>
  <c r="K33" i="1"/>
  <c r="J33" i="1"/>
  <c r="AF31" i="1"/>
  <c r="AE31" i="1"/>
  <c r="O33" i="1"/>
  <c r="N33" i="1"/>
  <c r="O134" i="1"/>
  <c r="N134" i="1"/>
  <c r="Q134" i="1"/>
  <c r="Q33" i="1"/>
  <c r="Z33" i="1"/>
  <c r="AB33" i="1" s="1" a="1"/>
  <c r="AB33" i="1" s="1"/>
  <c r="M134" i="1"/>
  <c r="L134" i="1"/>
  <c r="C135" i="1"/>
  <c r="B136" i="1" a="1"/>
  <c r="B136" i="1" s="1"/>
  <c r="U35" i="1" a="1"/>
  <c r="U35" i="1" s="1"/>
  <c r="V34" i="1"/>
  <c r="W34" i="1" s="1"/>
  <c r="X34" i="1" s="1"/>
  <c r="M33" i="1"/>
  <c r="L33" i="1"/>
  <c r="C34" i="1"/>
  <c r="J135" i="1" a="1"/>
  <c r="K135" i="1" a="1"/>
  <c r="J34" i="1" a="1"/>
  <c r="K34" i="1" a="1"/>
  <c r="N135" i="1" a="1"/>
  <c r="O135" i="1" a="1"/>
  <c r="N34" i="1" a="1"/>
  <c r="O34" i="1" a="1"/>
  <c r="Q34" i="1" a="1"/>
  <c r="Q135" i="1" a="1"/>
  <c r="Z34" i="1" a="1"/>
  <c r="L135" i="1" a="1"/>
  <c r="M135" i="1" a="1"/>
  <c r="L34" i="1" a="1"/>
  <c r="M34" i="1" a="1"/>
  <c r="K34" i="1" l="1"/>
  <c r="J34" i="1"/>
  <c r="K135" i="1"/>
  <c r="J135" i="1"/>
  <c r="O34" i="1"/>
  <c r="N34" i="1"/>
  <c r="O135" i="1"/>
  <c r="N135" i="1"/>
  <c r="Q135" i="1"/>
  <c r="Q34" i="1"/>
  <c r="Z34" i="1"/>
  <c r="AB34" i="1" s="1" a="1"/>
  <c r="AB34" i="1" s="1"/>
  <c r="M135" i="1"/>
  <c r="L135" i="1"/>
  <c r="C136" i="1"/>
  <c r="B137" i="1" a="1"/>
  <c r="B137" i="1" s="1"/>
  <c r="U36" i="1" a="1"/>
  <c r="U36" i="1" s="1"/>
  <c r="V35" i="1"/>
  <c r="W35" i="1" s="1"/>
  <c r="X35" i="1" s="1"/>
  <c r="M34" i="1"/>
  <c r="L34" i="1"/>
  <c r="C35" i="1"/>
  <c r="J35" i="1" a="1"/>
  <c r="K35" i="1" a="1"/>
  <c r="J136" i="1" a="1"/>
  <c r="K136" i="1" a="1"/>
  <c r="N136" i="1" a="1"/>
  <c r="O136" i="1" a="1"/>
  <c r="N35" i="1" a="1"/>
  <c r="O35" i="1" a="1"/>
  <c r="Q35" i="1" a="1"/>
  <c r="Q136" i="1" a="1"/>
  <c r="Z35" i="1" a="1"/>
  <c r="L136" i="1" a="1"/>
  <c r="M136" i="1" a="1"/>
  <c r="L35" i="1" a="1"/>
  <c r="M35" i="1" a="1"/>
  <c r="K136" i="1" l="1"/>
  <c r="J136" i="1"/>
  <c r="K35" i="1"/>
  <c r="J35" i="1"/>
  <c r="O35" i="1"/>
  <c r="N35" i="1"/>
  <c r="O136" i="1"/>
  <c r="N136" i="1"/>
  <c r="Q136" i="1"/>
  <c r="Q35" i="1"/>
  <c r="Z35" i="1"/>
  <c r="AB35" i="1" s="1" a="1"/>
  <c r="AB35" i="1" s="1"/>
  <c r="M136" i="1"/>
  <c r="L136" i="1"/>
  <c r="B138" i="1" a="1"/>
  <c r="B138" i="1" s="1"/>
  <c r="C137" i="1"/>
  <c r="U37" i="1" a="1"/>
  <c r="U37" i="1" s="1"/>
  <c r="V36" i="1"/>
  <c r="W36" i="1" s="1"/>
  <c r="X36" i="1" s="1"/>
  <c r="M35" i="1"/>
  <c r="L35" i="1"/>
  <c r="C36" i="1"/>
  <c r="J36" i="1" a="1"/>
  <c r="K36" i="1" a="1"/>
  <c r="J137" i="1" a="1"/>
  <c r="K137" i="1" a="1"/>
  <c r="N137" i="1" a="1"/>
  <c r="O137" i="1" a="1"/>
  <c r="N36" i="1" a="1"/>
  <c r="O36" i="1" a="1"/>
  <c r="Q36" i="1" a="1"/>
  <c r="Q137" i="1" a="1"/>
  <c r="Z36" i="1" a="1"/>
  <c r="M137" i="1" a="1"/>
  <c r="L137" i="1" a="1"/>
  <c r="L36" i="1" a="1"/>
  <c r="M36" i="1" a="1"/>
  <c r="K137" i="1" l="1"/>
  <c r="J137" i="1"/>
  <c r="K36" i="1"/>
  <c r="J36" i="1"/>
  <c r="O36" i="1"/>
  <c r="N36" i="1"/>
  <c r="O137" i="1"/>
  <c r="N137" i="1"/>
  <c r="Q137" i="1"/>
  <c r="Q36" i="1"/>
  <c r="Z36" i="1"/>
  <c r="AB36" i="1" s="1" a="1"/>
  <c r="AB36" i="1" s="1"/>
  <c r="L137" i="1"/>
  <c r="M137" i="1"/>
  <c r="C138" i="1"/>
  <c r="B139" i="1" a="1"/>
  <c r="B139" i="1" s="1"/>
  <c r="U38" i="1" a="1"/>
  <c r="U38" i="1" s="1"/>
  <c r="V37" i="1"/>
  <c r="W37" i="1" s="1"/>
  <c r="X37" i="1" s="1"/>
  <c r="M36" i="1"/>
  <c r="L36" i="1"/>
  <c r="C37" i="1"/>
  <c r="J37" i="1" a="1"/>
  <c r="K37" i="1" a="1"/>
  <c r="J138" i="1" a="1"/>
  <c r="K138" i="1" a="1"/>
  <c r="N138" i="1" a="1"/>
  <c r="O138" i="1" a="1"/>
  <c r="N37" i="1" a="1"/>
  <c r="O37" i="1" a="1"/>
  <c r="Q37" i="1" a="1"/>
  <c r="Q138" i="1" a="1"/>
  <c r="Z37" i="1" a="1"/>
  <c r="L138" i="1" a="1"/>
  <c r="M138" i="1" a="1"/>
  <c r="L37" i="1" a="1"/>
  <c r="M37" i="1" a="1"/>
  <c r="K138" i="1" l="1"/>
  <c r="J138" i="1"/>
  <c r="K37" i="1"/>
  <c r="J37" i="1"/>
  <c r="O37" i="1"/>
  <c r="N37" i="1"/>
  <c r="O138" i="1"/>
  <c r="N138" i="1"/>
  <c r="Q138" i="1"/>
  <c r="Q37" i="1"/>
  <c r="Z37" i="1"/>
  <c r="AB37" i="1" s="1" a="1"/>
  <c r="AB37" i="1" s="1"/>
  <c r="M138" i="1"/>
  <c r="L138" i="1"/>
  <c r="C139" i="1"/>
  <c r="B140" i="1" a="1"/>
  <c r="B140" i="1" s="1"/>
  <c r="U39" i="1" a="1"/>
  <c r="U39" i="1" s="1"/>
  <c r="V38" i="1"/>
  <c r="W38" i="1" s="1"/>
  <c r="X38" i="1" s="1"/>
  <c r="M37" i="1"/>
  <c r="L37" i="1"/>
  <c r="C38" i="1"/>
  <c r="J38" i="1" a="1"/>
  <c r="K38" i="1" a="1"/>
  <c r="J139" i="1" a="1"/>
  <c r="K139" i="1" a="1"/>
  <c r="N139" i="1" a="1"/>
  <c r="O139" i="1" a="1"/>
  <c r="N38" i="1" a="1"/>
  <c r="O38" i="1" a="1"/>
  <c r="Q38" i="1" a="1"/>
  <c r="Q139" i="1" a="1"/>
  <c r="Z38" i="1" a="1"/>
  <c r="L139" i="1" a="1"/>
  <c r="M139" i="1" a="1"/>
  <c r="L38" i="1" a="1"/>
  <c r="M38" i="1" a="1"/>
  <c r="K139" i="1" l="1"/>
  <c r="J139" i="1"/>
  <c r="K38" i="1"/>
  <c r="J38" i="1"/>
  <c r="O38" i="1"/>
  <c r="N38" i="1"/>
  <c r="O139" i="1"/>
  <c r="N139" i="1"/>
  <c r="Q139" i="1"/>
  <c r="Q38" i="1"/>
  <c r="Z38" i="1"/>
  <c r="AB38" i="1" s="1" a="1"/>
  <c r="AB38" i="1" s="1"/>
  <c r="M139" i="1"/>
  <c r="L139" i="1"/>
  <c r="B141" i="1" a="1"/>
  <c r="B141" i="1" s="1"/>
  <c r="C140" i="1"/>
  <c r="U40" i="1" a="1"/>
  <c r="U40" i="1" s="1"/>
  <c r="V39" i="1"/>
  <c r="W39" i="1" s="1"/>
  <c r="X39" i="1" s="1"/>
  <c r="M38" i="1"/>
  <c r="L38" i="1"/>
  <c r="C39" i="1"/>
  <c r="J39" i="1" a="1"/>
  <c r="K39" i="1" a="1"/>
  <c r="J140" i="1" a="1"/>
  <c r="K140" i="1" a="1"/>
  <c r="N140" i="1" a="1"/>
  <c r="O140" i="1" a="1"/>
  <c r="N39" i="1" a="1"/>
  <c r="O39" i="1" a="1"/>
  <c r="Q39" i="1" a="1"/>
  <c r="Q140" i="1" a="1"/>
  <c r="Z39" i="1" a="1"/>
  <c r="L140" i="1" a="1"/>
  <c r="M140" i="1" a="1"/>
  <c r="L39" i="1" a="1"/>
  <c r="M39" i="1" a="1"/>
  <c r="K140" i="1" l="1"/>
  <c r="J140" i="1"/>
  <c r="K39" i="1"/>
  <c r="J39" i="1"/>
  <c r="O39" i="1"/>
  <c r="N39" i="1"/>
  <c r="O140" i="1"/>
  <c r="N140" i="1"/>
  <c r="Q140" i="1"/>
  <c r="Q39" i="1"/>
  <c r="Z39" i="1"/>
  <c r="AB39" i="1" s="1" a="1"/>
  <c r="AB39" i="1" s="1"/>
  <c r="M140" i="1"/>
  <c r="L140" i="1"/>
  <c r="B142" i="1" a="1"/>
  <c r="B142" i="1" s="1"/>
  <c r="C141" i="1"/>
  <c r="U41" i="1" a="1"/>
  <c r="U41" i="1" s="1"/>
  <c r="V40" i="1"/>
  <c r="W40" i="1" s="1"/>
  <c r="X40" i="1" s="1"/>
  <c r="M39" i="1"/>
  <c r="L39" i="1"/>
  <c r="C40" i="1"/>
  <c r="J40" i="1" a="1"/>
  <c r="K40" i="1" a="1"/>
  <c r="J141" i="1" a="1"/>
  <c r="K141" i="1" a="1"/>
  <c r="N141" i="1" a="1"/>
  <c r="O141" i="1" a="1"/>
  <c r="N40" i="1" a="1"/>
  <c r="O40" i="1" a="1"/>
  <c r="Q40" i="1" a="1"/>
  <c r="Q141" i="1" a="1"/>
  <c r="Z40" i="1" a="1"/>
  <c r="L141" i="1" a="1"/>
  <c r="M141" i="1" a="1"/>
  <c r="L40" i="1" a="1"/>
  <c r="M40" i="1" a="1"/>
  <c r="K141" i="1" l="1"/>
  <c r="J141" i="1"/>
  <c r="K40" i="1"/>
  <c r="J40" i="1"/>
  <c r="O40" i="1"/>
  <c r="N40" i="1"/>
  <c r="O141" i="1"/>
  <c r="N141" i="1"/>
  <c r="Q141" i="1"/>
  <c r="Q40" i="1"/>
  <c r="Z40" i="1"/>
  <c r="AB40" i="1" s="1" a="1"/>
  <c r="AB40" i="1" s="1"/>
  <c r="M141" i="1"/>
  <c r="L141" i="1"/>
  <c r="C142" i="1"/>
  <c r="B143" i="1" a="1"/>
  <c r="B143" i="1" s="1"/>
  <c r="U42" i="1" a="1"/>
  <c r="U42" i="1" s="1"/>
  <c r="V41" i="1"/>
  <c r="W41" i="1" s="1"/>
  <c r="X41" i="1" s="1"/>
  <c r="M40" i="1"/>
  <c r="L40" i="1"/>
  <c r="C41" i="1"/>
  <c r="J142" i="1" a="1"/>
  <c r="K142" i="1" a="1"/>
  <c r="J41" i="1" a="1"/>
  <c r="K41" i="1" a="1"/>
  <c r="N41" i="1" a="1"/>
  <c r="O41" i="1" a="1"/>
  <c r="N142" i="1" a="1"/>
  <c r="O142" i="1" a="1"/>
  <c r="Q142" i="1" a="1"/>
  <c r="Q41" i="1" a="1"/>
  <c r="Z41" i="1" a="1"/>
  <c r="L142" i="1" a="1"/>
  <c r="M142" i="1" a="1"/>
  <c r="L41" i="1" a="1"/>
  <c r="M41" i="1" a="1"/>
  <c r="K41" i="1" l="1"/>
  <c r="J41" i="1"/>
  <c r="K142" i="1"/>
  <c r="J142" i="1"/>
  <c r="O142" i="1"/>
  <c r="N142" i="1"/>
  <c r="O41" i="1"/>
  <c r="N41" i="1"/>
  <c r="Q41" i="1"/>
  <c r="Q142" i="1"/>
  <c r="Z41" i="1"/>
  <c r="AB41" i="1" s="1" a="1"/>
  <c r="AB41" i="1" s="1"/>
  <c r="M142" i="1"/>
  <c r="L142" i="1"/>
  <c r="C143" i="1"/>
  <c r="B144" i="1" a="1"/>
  <c r="B144" i="1" s="1"/>
  <c r="U43" i="1" a="1"/>
  <c r="U43" i="1" s="1"/>
  <c r="V42" i="1"/>
  <c r="W42" i="1" s="1"/>
  <c r="X42" i="1" s="1"/>
  <c r="M41" i="1"/>
  <c r="L41" i="1"/>
  <c r="C42" i="1"/>
  <c r="J42" i="1" a="1"/>
  <c r="K42" i="1" a="1"/>
  <c r="J143" i="1" a="1"/>
  <c r="K143" i="1" a="1"/>
  <c r="N143" i="1" a="1"/>
  <c r="O143" i="1" a="1"/>
  <c r="N42" i="1" a="1"/>
  <c r="O42" i="1" a="1"/>
  <c r="Q143" i="1" a="1"/>
  <c r="Q42" i="1" a="1"/>
  <c r="Z42" i="1" a="1"/>
  <c r="L143" i="1" a="1"/>
  <c r="M143" i="1" a="1"/>
  <c r="L42" i="1" a="1"/>
  <c r="M42" i="1" a="1"/>
  <c r="K143" i="1" l="1"/>
  <c r="J143" i="1"/>
  <c r="K42" i="1"/>
  <c r="J42" i="1"/>
  <c r="O42" i="1"/>
  <c r="N42" i="1"/>
  <c r="O143" i="1"/>
  <c r="N143" i="1"/>
  <c r="Q42" i="1"/>
  <c r="Q143" i="1"/>
  <c r="Z42" i="1"/>
  <c r="AB42" i="1" s="1" a="1"/>
  <c r="AB42" i="1" s="1"/>
  <c r="M143" i="1"/>
  <c r="L143" i="1"/>
  <c r="C144" i="1"/>
  <c r="B145" i="1" a="1"/>
  <c r="B145" i="1" s="1"/>
  <c r="U44" i="1" a="1"/>
  <c r="U44" i="1" s="1"/>
  <c r="V43" i="1"/>
  <c r="W43" i="1" s="1"/>
  <c r="X43" i="1" s="1"/>
  <c r="M42" i="1"/>
  <c r="L42" i="1"/>
  <c r="C43" i="1"/>
  <c r="J43" i="1" a="1"/>
  <c r="K43" i="1" a="1"/>
  <c r="J144" i="1" a="1"/>
  <c r="K144" i="1" a="1"/>
  <c r="N144" i="1" a="1"/>
  <c r="O144" i="1" a="1"/>
  <c r="N43" i="1" a="1"/>
  <c r="O43" i="1" a="1"/>
  <c r="Q43" i="1" a="1"/>
  <c r="Q144" i="1" a="1"/>
  <c r="Z43" i="1" a="1"/>
  <c r="L144" i="1" a="1"/>
  <c r="M144" i="1" a="1"/>
  <c r="L43" i="1" a="1"/>
  <c r="M43" i="1" a="1"/>
  <c r="K144" i="1" l="1"/>
  <c r="J144" i="1"/>
  <c r="K43" i="1"/>
  <c r="J43" i="1"/>
  <c r="O43" i="1"/>
  <c r="N43" i="1"/>
  <c r="O144" i="1"/>
  <c r="N144" i="1"/>
  <c r="Q144" i="1"/>
  <c r="Q43" i="1"/>
  <c r="Z43" i="1"/>
  <c r="AB43" i="1" s="1" a="1"/>
  <c r="AB43" i="1" s="1"/>
  <c r="M144" i="1"/>
  <c r="L144" i="1"/>
  <c r="B146" i="1" a="1"/>
  <c r="B146" i="1" s="1"/>
  <c r="C145" i="1"/>
  <c r="U45" i="1" a="1"/>
  <c r="U45" i="1" s="1"/>
  <c r="V44" i="1"/>
  <c r="W44" i="1" s="1"/>
  <c r="X44" i="1" s="1"/>
  <c r="M43" i="1"/>
  <c r="L43" i="1"/>
  <c r="C44" i="1"/>
  <c r="J44" i="1" a="1"/>
  <c r="K44" i="1" a="1"/>
  <c r="J145" i="1" a="1"/>
  <c r="K145" i="1" a="1"/>
  <c r="N44" i="1" a="1"/>
  <c r="O44" i="1" a="1"/>
  <c r="N145" i="1" a="1"/>
  <c r="O145" i="1" a="1"/>
  <c r="Q44" i="1" a="1"/>
  <c r="Q145" i="1" a="1"/>
  <c r="Z44" i="1" a="1"/>
  <c r="L145" i="1" a="1"/>
  <c r="M145" i="1" a="1"/>
  <c r="L44" i="1" a="1"/>
  <c r="M44" i="1" a="1"/>
  <c r="K145" i="1" l="1"/>
  <c r="J145" i="1"/>
  <c r="K44" i="1"/>
  <c r="J44" i="1"/>
  <c r="O145" i="1"/>
  <c r="N145" i="1"/>
  <c r="O44" i="1"/>
  <c r="N44" i="1"/>
  <c r="Q145" i="1"/>
  <c r="Q44" i="1"/>
  <c r="Z44" i="1"/>
  <c r="AB44" i="1" s="1" a="1"/>
  <c r="AB44" i="1" s="1"/>
  <c r="M145" i="1"/>
  <c r="L145" i="1"/>
  <c r="C146" i="1"/>
  <c r="B147" i="1" a="1"/>
  <c r="B147" i="1" s="1"/>
  <c r="U46" i="1" a="1"/>
  <c r="U46" i="1" s="1"/>
  <c r="V45" i="1"/>
  <c r="W45" i="1" s="1"/>
  <c r="X45" i="1" s="1"/>
  <c r="M44" i="1"/>
  <c r="L44" i="1"/>
  <c r="C45" i="1"/>
  <c r="J45" i="1" a="1"/>
  <c r="K45" i="1" a="1"/>
  <c r="J146" i="1" a="1"/>
  <c r="K146" i="1" a="1"/>
  <c r="N146" i="1" a="1"/>
  <c r="O146" i="1" a="1"/>
  <c r="N45" i="1" a="1"/>
  <c r="O45" i="1" a="1"/>
  <c r="Q45" i="1" a="1"/>
  <c r="Q146" i="1" a="1"/>
  <c r="Z45" i="1" a="1"/>
  <c r="M146" i="1" a="1"/>
  <c r="L146" i="1" a="1"/>
  <c r="L45" i="1" a="1"/>
  <c r="M45" i="1" a="1"/>
  <c r="K146" i="1" l="1"/>
  <c r="J146" i="1"/>
  <c r="K45" i="1"/>
  <c r="J45" i="1"/>
  <c r="O45" i="1"/>
  <c r="N45" i="1"/>
  <c r="O146" i="1"/>
  <c r="N146" i="1"/>
  <c r="Q146" i="1"/>
  <c r="Q45" i="1"/>
  <c r="Z45" i="1"/>
  <c r="AB45" i="1" s="1" a="1"/>
  <c r="AB45" i="1" s="1"/>
  <c r="L146" i="1"/>
  <c r="M146" i="1"/>
  <c r="C147" i="1"/>
  <c r="B148" i="1" a="1"/>
  <c r="B148" i="1" s="1"/>
  <c r="U47" i="1" a="1"/>
  <c r="U47" i="1" s="1"/>
  <c r="V46" i="1"/>
  <c r="W46" i="1" s="1"/>
  <c r="X46" i="1" s="1"/>
  <c r="M45" i="1"/>
  <c r="L45" i="1"/>
  <c r="C46" i="1"/>
  <c r="J46" i="1" a="1"/>
  <c r="K46" i="1" a="1"/>
  <c r="J147" i="1" a="1"/>
  <c r="K147" i="1" a="1"/>
  <c r="N147" i="1" a="1"/>
  <c r="O147" i="1" a="1"/>
  <c r="N46" i="1" a="1"/>
  <c r="O46" i="1" a="1"/>
  <c r="Q147" i="1" a="1"/>
  <c r="Q46" i="1" a="1"/>
  <c r="Z46" i="1" a="1"/>
  <c r="L147" i="1" a="1"/>
  <c r="M147" i="1" a="1"/>
  <c r="L46" i="1" a="1"/>
  <c r="M46" i="1" a="1"/>
  <c r="K147" i="1" l="1"/>
  <c r="J147" i="1"/>
  <c r="K46" i="1"/>
  <c r="J46" i="1"/>
  <c r="O46" i="1"/>
  <c r="N46" i="1"/>
  <c r="O147" i="1"/>
  <c r="N147" i="1"/>
  <c r="Q46" i="1"/>
  <c r="Q147" i="1"/>
  <c r="Z46" i="1"/>
  <c r="AB46" i="1" s="1" a="1"/>
  <c r="AB46" i="1" s="1"/>
  <c r="M147" i="1"/>
  <c r="L147" i="1"/>
  <c r="B149" i="1" a="1"/>
  <c r="B149" i="1" s="1"/>
  <c r="C148" i="1"/>
  <c r="U48" i="1" a="1"/>
  <c r="U48" i="1" s="1"/>
  <c r="V47" i="1"/>
  <c r="W47" i="1" s="1"/>
  <c r="X47" i="1" s="1"/>
  <c r="M46" i="1"/>
  <c r="L46" i="1"/>
  <c r="C47" i="1"/>
  <c r="J47" i="1" a="1"/>
  <c r="K47" i="1" a="1"/>
  <c r="J148" i="1" a="1"/>
  <c r="K148" i="1" a="1"/>
  <c r="N148" i="1" a="1"/>
  <c r="O148" i="1" a="1"/>
  <c r="N47" i="1" a="1"/>
  <c r="O47" i="1" a="1"/>
  <c r="Q47" i="1" a="1"/>
  <c r="Q148" i="1" a="1"/>
  <c r="Z47" i="1" a="1"/>
  <c r="L148" i="1" a="1"/>
  <c r="M148" i="1" a="1"/>
  <c r="L47" i="1" a="1"/>
  <c r="M47" i="1" a="1"/>
  <c r="K148" i="1" l="1"/>
  <c r="J148" i="1"/>
  <c r="K47" i="1"/>
  <c r="J47" i="1"/>
  <c r="O47" i="1"/>
  <c r="N47" i="1"/>
  <c r="O148" i="1"/>
  <c r="N148" i="1"/>
  <c r="Q148" i="1"/>
  <c r="Q47" i="1"/>
  <c r="Z47" i="1"/>
  <c r="AB47" i="1" s="1" a="1"/>
  <c r="AB47" i="1" s="1"/>
  <c r="M148" i="1"/>
  <c r="L148" i="1"/>
  <c r="C149" i="1"/>
  <c r="B150" i="1" a="1"/>
  <c r="B150" i="1" s="1"/>
  <c r="U49" i="1" a="1"/>
  <c r="U49" i="1" s="1"/>
  <c r="V48" i="1"/>
  <c r="W48" i="1" s="1"/>
  <c r="X48" i="1" s="1"/>
  <c r="M47" i="1"/>
  <c r="L47" i="1"/>
  <c r="C48" i="1"/>
  <c r="J149" i="1" a="1"/>
  <c r="K149" i="1" a="1"/>
  <c r="J48" i="1" a="1"/>
  <c r="K48" i="1" a="1"/>
  <c r="N149" i="1" a="1"/>
  <c r="O149" i="1" a="1"/>
  <c r="N48" i="1" a="1"/>
  <c r="O48" i="1" a="1"/>
  <c r="Q48" i="1" a="1"/>
  <c r="Q149" i="1" a="1"/>
  <c r="Z48" i="1" a="1"/>
  <c r="L149" i="1" a="1"/>
  <c r="M149" i="1" a="1"/>
  <c r="L48" i="1" a="1"/>
  <c r="M48" i="1" a="1"/>
  <c r="K48" i="1" l="1"/>
  <c r="J48" i="1"/>
  <c r="K149" i="1"/>
  <c r="J149" i="1"/>
  <c r="O48" i="1"/>
  <c r="N48" i="1"/>
  <c r="O149" i="1"/>
  <c r="N149" i="1"/>
  <c r="Q149" i="1"/>
  <c r="Q48" i="1"/>
  <c r="Z48" i="1"/>
  <c r="AB48" i="1" s="1" a="1"/>
  <c r="AB48" i="1" s="1"/>
  <c r="M149" i="1"/>
  <c r="L149" i="1"/>
  <c r="B151" i="1" a="1"/>
  <c r="B151" i="1" s="1"/>
  <c r="C150" i="1"/>
  <c r="U50" i="1" a="1"/>
  <c r="U50" i="1" s="1"/>
  <c r="V49" i="1"/>
  <c r="W49" i="1" s="1"/>
  <c r="X49" i="1" s="1"/>
  <c r="M48" i="1"/>
  <c r="L48" i="1"/>
  <c r="C49" i="1"/>
  <c r="J49" i="1" a="1"/>
  <c r="K49" i="1" a="1"/>
  <c r="J150" i="1" a="1"/>
  <c r="K150" i="1" a="1"/>
  <c r="N150" i="1" a="1"/>
  <c r="O150" i="1" a="1"/>
  <c r="N49" i="1" a="1"/>
  <c r="O49" i="1" a="1"/>
  <c r="Q49" i="1" a="1"/>
  <c r="Q150" i="1" a="1"/>
  <c r="Z49" i="1" a="1"/>
  <c r="L150" i="1" a="1"/>
  <c r="M150" i="1" a="1"/>
  <c r="L49" i="1" a="1"/>
  <c r="M49" i="1" a="1"/>
  <c r="K150" i="1" l="1"/>
  <c r="J150" i="1"/>
  <c r="K49" i="1"/>
  <c r="J49" i="1"/>
  <c r="O49" i="1"/>
  <c r="N49" i="1"/>
  <c r="O150" i="1"/>
  <c r="N150" i="1"/>
  <c r="Q150" i="1"/>
  <c r="Q49" i="1"/>
  <c r="Z49" i="1"/>
  <c r="AB49" i="1" s="1" a="1"/>
  <c r="AB49" i="1" s="1"/>
  <c r="M150" i="1"/>
  <c r="L150" i="1"/>
  <c r="B152" i="1" a="1"/>
  <c r="B152" i="1" s="1"/>
  <c r="C151" i="1"/>
  <c r="U51" i="1" a="1"/>
  <c r="U51" i="1" s="1"/>
  <c r="V50" i="1"/>
  <c r="W50" i="1" s="1"/>
  <c r="X50" i="1" s="1"/>
  <c r="M49" i="1"/>
  <c r="L49" i="1"/>
  <c r="C50" i="1"/>
  <c r="J50" i="1" a="1"/>
  <c r="K50" i="1" a="1"/>
  <c r="J151" i="1" a="1"/>
  <c r="K151" i="1" a="1"/>
  <c r="N151" i="1" a="1"/>
  <c r="O151" i="1" a="1"/>
  <c r="N50" i="1" a="1"/>
  <c r="O50" i="1" a="1"/>
  <c r="Q50" i="1" a="1"/>
  <c r="Q151" i="1" a="1"/>
  <c r="Z50" i="1" a="1"/>
  <c r="L151" i="1" a="1"/>
  <c r="M151" i="1" a="1"/>
  <c r="L50" i="1" a="1"/>
  <c r="M50" i="1" a="1"/>
  <c r="K151" i="1" l="1"/>
  <c r="J151" i="1"/>
  <c r="K50" i="1"/>
  <c r="J50" i="1"/>
  <c r="O50" i="1"/>
  <c r="N50" i="1"/>
  <c r="O151" i="1"/>
  <c r="N151" i="1"/>
  <c r="Q151" i="1"/>
  <c r="Q50" i="1"/>
  <c r="Z50" i="1"/>
  <c r="AB50" i="1" s="1" a="1"/>
  <c r="AB50" i="1" s="1"/>
  <c r="M151" i="1"/>
  <c r="L151" i="1"/>
  <c r="C152" i="1"/>
  <c r="B153" i="1" a="1"/>
  <c r="B153" i="1" s="1"/>
  <c r="U52" i="1" a="1"/>
  <c r="U52" i="1" s="1"/>
  <c r="V51" i="1"/>
  <c r="W51" i="1" s="1"/>
  <c r="X51" i="1" s="1"/>
  <c r="M50" i="1"/>
  <c r="L50" i="1"/>
  <c r="C51" i="1"/>
  <c r="J51" i="1" a="1"/>
  <c r="K51" i="1" a="1"/>
  <c r="J152" i="1" a="1"/>
  <c r="K152" i="1" a="1"/>
  <c r="N152" i="1" a="1"/>
  <c r="O152" i="1" a="1"/>
  <c r="N51" i="1" a="1"/>
  <c r="O51" i="1" a="1"/>
  <c r="Q152" i="1" a="1"/>
  <c r="Q51" i="1" a="1"/>
  <c r="Z51" i="1" a="1"/>
  <c r="L152" i="1" a="1"/>
  <c r="M152" i="1" a="1"/>
  <c r="L51" i="1" a="1"/>
  <c r="M51" i="1" a="1"/>
  <c r="K152" i="1" l="1"/>
  <c r="J152" i="1"/>
  <c r="K51" i="1"/>
  <c r="J51" i="1"/>
  <c r="O51" i="1"/>
  <c r="N51" i="1"/>
  <c r="O152" i="1"/>
  <c r="N152" i="1"/>
  <c r="Q51" i="1"/>
  <c r="Q152" i="1"/>
  <c r="Z51" i="1"/>
  <c r="AB51" i="1" s="1" a="1"/>
  <c r="AB51" i="1" s="1"/>
  <c r="M152" i="1"/>
  <c r="L152" i="1"/>
  <c r="C153" i="1"/>
  <c r="B154" i="1" a="1"/>
  <c r="B154" i="1" s="1"/>
  <c r="U53" i="1" a="1"/>
  <c r="U53" i="1" s="1"/>
  <c r="V52" i="1"/>
  <c r="W52" i="1" s="1"/>
  <c r="X52" i="1" s="1"/>
  <c r="M51" i="1"/>
  <c r="L51" i="1"/>
  <c r="C52" i="1"/>
  <c r="J153" i="1" a="1"/>
  <c r="K153" i="1" a="1"/>
  <c r="J52" i="1" a="1"/>
  <c r="K52" i="1" a="1"/>
  <c r="N153" i="1" a="1"/>
  <c r="O153" i="1" a="1"/>
  <c r="N52" i="1" a="1"/>
  <c r="O52" i="1" a="1"/>
  <c r="Q153" i="1" a="1"/>
  <c r="Q52" i="1" a="1"/>
  <c r="Z52" i="1" a="1"/>
  <c r="L153" i="1" a="1"/>
  <c r="M153" i="1" a="1"/>
  <c r="L52" i="1" a="1"/>
  <c r="M52" i="1" a="1"/>
  <c r="K52" i="1" l="1"/>
  <c r="J52" i="1"/>
  <c r="K153" i="1"/>
  <c r="J153" i="1"/>
  <c r="O52" i="1"/>
  <c r="N52" i="1"/>
  <c r="O153" i="1"/>
  <c r="N153" i="1"/>
  <c r="Q52" i="1"/>
  <c r="Q153" i="1"/>
  <c r="Z52" i="1"/>
  <c r="AB52" i="1" s="1" a="1"/>
  <c r="AB52" i="1" s="1"/>
  <c r="M153" i="1"/>
  <c r="L153" i="1"/>
  <c r="C154" i="1"/>
  <c r="B155" i="1" a="1"/>
  <c r="B155" i="1" s="1"/>
  <c r="B156" i="1" s="1" a="1"/>
  <c r="B156" i="1" s="1"/>
  <c r="B157" i="1" s="1" a="1"/>
  <c r="B157" i="1" s="1"/>
  <c r="B158" i="1" s="1" a="1"/>
  <c r="B158" i="1" s="1"/>
  <c r="B159" i="1" s="1" a="1"/>
  <c r="B159" i="1" s="1"/>
  <c r="U54" i="1" a="1"/>
  <c r="U54" i="1" s="1"/>
  <c r="V53" i="1"/>
  <c r="W53" i="1" s="1"/>
  <c r="X53" i="1" s="1"/>
  <c r="M52" i="1"/>
  <c r="L52" i="1"/>
  <c r="C53" i="1"/>
  <c r="J53" i="1" a="1"/>
  <c r="K53" i="1" a="1"/>
  <c r="J154" i="1" a="1"/>
  <c r="K154" i="1" a="1"/>
  <c r="N154" i="1" a="1"/>
  <c r="O154" i="1" a="1"/>
  <c r="N53" i="1" a="1"/>
  <c r="O53" i="1" a="1"/>
  <c r="Q53" i="1" a="1"/>
  <c r="Q154" i="1" a="1"/>
  <c r="Z53" i="1" a="1"/>
  <c r="L154" i="1" a="1"/>
  <c r="M154" i="1" a="1"/>
  <c r="L53" i="1" a="1"/>
  <c r="M53" i="1" a="1"/>
  <c r="K154" i="1" l="1"/>
  <c r="J154" i="1"/>
  <c r="K53" i="1"/>
  <c r="J53" i="1"/>
  <c r="O53" i="1"/>
  <c r="N53" i="1"/>
  <c r="O154" i="1"/>
  <c r="N154" i="1"/>
  <c r="Q154" i="1"/>
  <c r="Q53" i="1"/>
  <c r="Z53" i="1"/>
  <c r="AB53" i="1" s="1" a="1"/>
  <c r="AB53" i="1" s="1"/>
  <c r="M154" i="1"/>
  <c r="L154" i="1"/>
  <c r="B160" i="1" a="1"/>
  <c r="B160" i="1" s="1"/>
  <c r="C159" i="1"/>
  <c r="C155" i="1"/>
  <c r="U55" i="1" a="1"/>
  <c r="U55" i="1" s="1"/>
  <c r="V54" i="1"/>
  <c r="W54" i="1" s="1"/>
  <c r="X54" i="1" s="1"/>
  <c r="M53" i="1"/>
  <c r="L53" i="1"/>
  <c r="C54" i="1"/>
  <c r="J159" i="1" a="1"/>
  <c r="K159" i="1" a="1"/>
  <c r="J54" i="1" a="1"/>
  <c r="K54" i="1" a="1"/>
  <c r="J155" i="1" a="1"/>
  <c r="K155" i="1" a="1"/>
  <c r="N54" i="1" a="1"/>
  <c r="O54" i="1" a="1"/>
  <c r="N159" i="1" a="1"/>
  <c r="O159" i="1" a="1"/>
  <c r="N155" i="1" a="1"/>
  <c r="O155" i="1" a="1"/>
  <c r="Q155" i="1" a="1"/>
  <c r="Q54" i="1" a="1"/>
  <c r="Q159" i="1" a="1"/>
  <c r="Z54" i="1" a="1"/>
  <c r="L159" i="1" a="1"/>
  <c r="M159" i="1" a="1"/>
  <c r="L155" i="1" a="1"/>
  <c r="M155" i="1" a="1"/>
  <c r="L54" i="1" a="1"/>
  <c r="M54" i="1" a="1"/>
  <c r="K155" i="1" l="1"/>
  <c r="J155" i="1"/>
  <c r="K54" i="1"/>
  <c r="J54" i="1"/>
  <c r="K159" i="1"/>
  <c r="J159" i="1"/>
  <c r="O155" i="1"/>
  <c r="N155" i="1"/>
  <c r="O159" i="1"/>
  <c r="N159" i="1"/>
  <c r="O54" i="1"/>
  <c r="N54" i="1"/>
  <c r="Q159" i="1"/>
  <c r="Q54" i="1"/>
  <c r="Q155" i="1"/>
  <c r="Z54" i="1"/>
  <c r="AB54" i="1" s="1" a="1"/>
  <c r="AB54" i="1" s="1"/>
  <c r="M155" i="1"/>
  <c r="L155" i="1"/>
  <c r="M159" i="1"/>
  <c r="L159" i="1"/>
  <c r="B161" i="1" a="1"/>
  <c r="B161" i="1" s="1"/>
  <c r="C160" i="1"/>
  <c r="C156" i="1"/>
  <c r="U56" i="1" a="1"/>
  <c r="U56" i="1" s="1"/>
  <c r="V55" i="1"/>
  <c r="W55" i="1" s="1"/>
  <c r="X55" i="1" s="1"/>
  <c r="M54" i="1"/>
  <c r="L54" i="1"/>
  <c r="C55" i="1"/>
  <c r="J55" i="1" a="1"/>
  <c r="K55" i="1" a="1"/>
  <c r="J156" i="1" a="1"/>
  <c r="K156" i="1" a="1"/>
  <c r="J160" i="1" a="1"/>
  <c r="K160" i="1" a="1"/>
  <c r="N156" i="1" a="1"/>
  <c r="O156" i="1" a="1"/>
  <c r="N160" i="1" a="1"/>
  <c r="O160" i="1" a="1"/>
  <c r="N55" i="1" a="1"/>
  <c r="O55" i="1" a="1"/>
  <c r="Q160" i="1" a="1"/>
  <c r="Q55" i="1" a="1"/>
  <c r="Q156" i="1" a="1"/>
  <c r="Z55" i="1" a="1"/>
  <c r="L160" i="1" a="1"/>
  <c r="M160" i="1" a="1"/>
  <c r="L156" i="1" a="1"/>
  <c r="M156" i="1" a="1"/>
  <c r="L55" i="1" a="1"/>
  <c r="M55" i="1" a="1"/>
  <c r="K160" i="1" l="1"/>
  <c r="J160" i="1"/>
  <c r="K156" i="1"/>
  <c r="J156" i="1"/>
  <c r="K55" i="1"/>
  <c r="J55" i="1"/>
  <c r="O55" i="1"/>
  <c r="N55" i="1"/>
  <c r="O160" i="1"/>
  <c r="N160" i="1"/>
  <c r="O156" i="1"/>
  <c r="N156" i="1"/>
  <c r="Q156" i="1"/>
  <c r="Q55" i="1"/>
  <c r="Q160" i="1"/>
  <c r="Z55" i="1"/>
  <c r="AB55" i="1" s="1" a="1"/>
  <c r="AB55" i="1" s="1"/>
  <c r="M156" i="1"/>
  <c r="L156" i="1"/>
  <c r="M160" i="1"/>
  <c r="L160" i="1"/>
  <c r="B162" i="1" a="1"/>
  <c r="B162" i="1" s="1"/>
  <c r="C161" i="1"/>
  <c r="C157" i="1"/>
  <c r="C158" i="1"/>
  <c r="U57" i="1" a="1"/>
  <c r="U57" i="1" s="1"/>
  <c r="V56" i="1"/>
  <c r="W56" i="1" s="1"/>
  <c r="X56" i="1" s="1"/>
  <c r="M55" i="1"/>
  <c r="L55" i="1"/>
  <c r="C56" i="1"/>
  <c r="J56" i="1" a="1"/>
  <c r="K56" i="1" a="1"/>
  <c r="J157" i="1" a="1"/>
  <c r="K157" i="1" a="1"/>
  <c r="J161" i="1" a="1"/>
  <c r="K161" i="1" a="1"/>
  <c r="J158" i="1" a="1"/>
  <c r="K158" i="1" a="1"/>
  <c r="N157" i="1" a="1"/>
  <c r="O157" i="1" a="1"/>
  <c r="N158" i="1" a="1"/>
  <c r="O158" i="1" a="1"/>
  <c r="N56" i="1" a="1"/>
  <c r="O56" i="1" a="1"/>
  <c r="N161" i="1" a="1"/>
  <c r="O161" i="1" a="1"/>
  <c r="Q56" i="1" a="1"/>
  <c r="Q161" i="1" a="1"/>
  <c r="Q157" i="1" a="1"/>
  <c r="Q158" i="1" a="1"/>
  <c r="Z56" i="1" a="1"/>
  <c r="L161" i="1" a="1"/>
  <c r="M161" i="1" a="1"/>
  <c r="M158" i="1" a="1"/>
  <c r="L158" i="1" a="1"/>
  <c r="L157" i="1" a="1"/>
  <c r="M157" i="1" a="1"/>
  <c r="L56" i="1" a="1"/>
  <c r="M56" i="1" a="1"/>
  <c r="K158" i="1" l="1"/>
  <c r="J158" i="1"/>
  <c r="K161" i="1"/>
  <c r="J161" i="1"/>
  <c r="K157" i="1"/>
  <c r="J157" i="1"/>
  <c r="K56" i="1"/>
  <c r="J56" i="1"/>
  <c r="O161" i="1"/>
  <c r="N161" i="1"/>
  <c r="O56" i="1"/>
  <c r="N56" i="1"/>
  <c r="O158" i="1"/>
  <c r="N158" i="1"/>
  <c r="O157" i="1"/>
  <c r="N157" i="1"/>
  <c r="Q158" i="1"/>
  <c r="Q157" i="1"/>
  <c r="Q161" i="1"/>
  <c r="Q56" i="1"/>
  <c r="Z56" i="1"/>
  <c r="AB56" i="1" s="1" a="1"/>
  <c r="AB56" i="1" s="1"/>
  <c r="M157" i="1"/>
  <c r="L157" i="1"/>
  <c r="L158" i="1"/>
  <c r="M158" i="1"/>
  <c r="M161" i="1"/>
  <c r="L161" i="1"/>
  <c r="B163" i="1" a="1"/>
  <c r="B163" i="1" s="1"/>
  <c r="C162" i="1"/>
  <c r="U58" i="1" a="1"/>
  <c r="U58" i="1" s="1"/>
  <c r="V57" i="1"/>
  <c r="W57" i="1" s="1"/>
  <c r="X57" i="1" s="1"/>
  <c r="M56" i="1"/>
  <c r="L56" i="1"/>
  <c r="C57" i="1"/>
  <c r="J57" i="1" a="1"/>
  <c r="K57" i="1" a="1"/>
  <c r="J162" i="1" a="1"/>
  <c r="K162" i="1" a="1"/>
  <c r="N57" i="1" a="1"/>
  <c r="O57" i="1" a="1"/>
  <c r="N162" i="1" a="1"/>
  <c r="O162" i="1" a="1"/>
  <c r="Q57" i="1" a="1"/>
  <c r="Q162" i="1" a="1"/>
  <c r="Z57" i="1" a="1"/>
  <c r="M162" i="1" a="1"/>
  <c r="L162" i="1" a="1"/>
  <c r="L57" i="1" a="1"/>
  <c r="M57" i="1" a="1"/>
  <c r="K162" i="1" l="1"/>
  <c r="J162" i="1"/>
  <c r="K57" i="1"/>
  <c r="J57" i="1"/>
  <c r="O162" i="1"/>
  <c r="N162" i="1"/>
  <c r="O57" i="1"/>
  <c r="N57" i="1"/>
  <c r="Q162" i="1"/>
  <c r="Q57" i="1"/>
  <c r="Z57" i="1"/>
  <c r="AB57" i="1" s="1" a="1"/>
  <c r="AB57" i="1" s="1"/>
  <c r="L162" i="1"/>
  <c r="M162" i="1"/>
  <c r="B164" i="1" a="1"/>
  <c r="B164" i="1" s="1"/>
  <c r="C163" i="1"/>
  <c r="U59" i="1" a="1"/>
  <c r="U59" i="1" s="1"/>
  <c r="V58" i="1"/>
  <c r="W58" i="1" s="1"/>
  <c r="X58" i="1" s="1"/>
  <c r="M57" i="1"/>
  <c r="L57" i="1"/>
  <c r="C58" i="1"/>
  <c r="J58" i="1" a="1"/>
  <c r="K58" i="1" a="1"/>
  <c r="J163" i="1" a="1"/>
  <c r="K163" i="1" a="1"/>
  <c r="N163" i="1" a="1"/>
  <c r="O163" i="1" a="1"/>
  <c r="N58" i="1" a="1"/>
  <c r="O58" i="1" a="1"/>
  <c r="Q163" i="1" a="1"/>
  <c r="Q58" i="1" a="1"/>
  <c r="Z58" i="1" a="1"/>
  <c r="L163" i="1" a="1"/>
  <c r="M163" i="1" a="1"/>
  <c r="L58" i="1" a="1"/>
  <c r="M58" i="1" a="1"/>
  <c r="K163" i="1" l="1"/>
  <c r="J163" i="1"/>
  <c r="K58" i="1"/>
  <c r="J58" i="1"/>
  <c r="O58" i="1"/>
  <c r="N58" i="1"/>
  <c r="O163" i="1"/>
  <c r="N163" i="1"/>
  <c r="Q58" i="1"/>
  <c r="Q163" i="1"/>
  <c r="Z58" i="1"/>
  <c r="AB58" i="1" s="1" a="1"/>
  <c r="AB58" i="1" s="1"/>
  <c r="M163" i="1"/>
  <c r="L163" i="1"/>
  <c r="B165" i="1" a="1"/>
  <c r="B165" i="1" s="1"/>
  <c r="C164" i="1"/>
  <c r="U60" i="1" a="1"/>
  <c r="U60" i="1" s="1"/>
  <c r="V59" i="1"/>
  <c r="W59" i="1" s="1"/>
  <c r="X59" i="1" s="1"/>
  <c r="M58" i="1"/>
  <c r="L58" i="1"/>
  <c r="C59" i="1"/>
  <c r="J59" i="1" a="1"/>
  <c r="K59" i="1" a="1"/>
  <c r="J164" i="1" a="1"/>
  <c r="K164" i="1" a="1"/>
  <c r="N164" i="1" a="1"/>
  <c r="O164" i="1" a="1"/>
  <c r="N59" i="1" a="1"/>
  <c r="O59" i="1" a="1"/>
  <c r="Q164" i="1" a="1"/>
  <c r="Q59" i="1" a="1"/>
  <c r="Z59" i="1" a="1"/>
  <c r="L164" i="1" a="1"/>
  <c r="M164" i="1" a="1"/>
  <c r="L59" i="1" a="1"/>
  <c r="M59" i="1" a="1"/>
  <c r="K164" i="1" l="1"/>
  <c r="J164" i="1"/>
  <c r="K59" i="1"/>
  <c r="J59" i="1"/>
  <c r="O59" i="1"/>
  <c r="N59" i="1"/>
  <c r="O164" i="1"/>
  <c r="N164" i="1"/>
  <c r="Q59" i="1"/>
  <c r="Q164" i="1"/>
  <c r="Z59" i="1"/>
  <c r="AB59" i="1" s="1" a="1"/>
  <c r="AB59" i="1" s="1"/>
  <c r="M164" i="1"/>
  <c r="L164" i="1"/>
  <c r="B166" i="1" a="1"/>
  <c r="B166" i="1" s="1"/>
  <c r="C165" i="1"/>
  <c r="U61" i="1" a="1"/>
  <c r="U61" i="1" s="1"/>
  <c r="V60" i="1"/>
  <c r="W60" i="1" s="1"/>
  <c r="X60" i="1" s="1"/>
  <c r="M59" i="1"/>
  <c r="L59" i="1"/>
  <c r="C60" i="1"/>
  <c r="J60" i="1" a="1"/>
  <c r="K60" i="1" a="1"/>
  <c r="J165" i="1" a="1"/>
  <c r="K165" i="1" a="1"/>
  <c r="N165" i="1" a="1"/>
  <c r="O165" i="1" a="1"/>
  <c r="N60" i="1" a="1"/>
  <c r="O60" i="1" a="1"/>
  <c r="Q60" i="1" a="1"/>
  <c r="Q165" i="1" a="1"/>
  <c r="Z60" i="1" a="1"/>
  <c r="L165" i="1" a="1"/>
  <c r="M165" i="1" a="1"/>
  <c r="L60" i="1" a="1"/>
  <c r="M60" i="1" a="1"/>
  <c r="K165" i="1" l="1"/>
  <c r="J165" i="1"/>
  <c r="K60" i="1"/>
  <c r="J60" i="1"/>
  <c r="O60" i="1"/>
  <c r="N60" i="1"/>
  <c r="O165" i="1"/>
  <c r="N165" i="1"/>
  <c r="Q165" i="1"/>
  <c r="Q60" i="1"/>
  <c r="Z60" i="1"/>
  <c r="AB60" i="1" s="1" a="1"/>
  <c r="AB60" i="1" s="1"/>
  <c r="M165" i="1"/>
  <c r="L165" i="1"/>
  <c r="B167" i="1" a="1"/>
  <c r="B167" i="1" s="1"/>
  <c r="C166" i="1"/>
  <c r="U62" i="1" a="1"/>
  <c r="U62" i="1" s="1"/>
  <c r="V61" i="1"/>
  <c r="W61" i="1" s="1"/>
  <c r="X61" i="1" s="1"/>
  <c r="M60" i="1"/>
  <c r="L60" i="1"/>
  <c r="C61" i="1"/>
  <c r="J61" i="1" a="1"/>
  <c r="K61" i="1" a="1"/>
  <c r="J166" i="1" a="1"/>
  <c r="K166" i="1" a="1"/>
  <c r="N61" i="1" a="1"/>
  <c r="O61" i="1" a="1"/>
  <c r="N166" i="1" a="1"/>
  <c r="O166" i="1" a="1"/>
  <c r="Q166" i="1" a="1"/>
  <c r="Q61" i="1" a="1"/>
  <c r="Z61" i="1" a="1"/>
  <c r="L166" i="1" a="1"/>
  <c r="M166" i="1" a="1"/>
  <c r="L61" i="1" a="1"/>
  <c r="M61" i="1" a="1"/>
  <c r="K166" i="1" l="1"/>
  <c r="J166" i="1"/>
  <c r="K61" i="1"/>
  <c r="J61" i="1"/>
  <c r="O166" i="1"/>
  <c r="N166" i="1"/>
  <c r="O61" i="1"/>
  <c r="N61" i="1"/>
  <c r="Q61" i="1"/>
  <c r="Q166" i="1"/>
  <c r="Z61" i="1"/>
  <c r="AB61" i="1" s="1" a="1"/>
  <c r="AB61" i="1" s="1"/>
  <c r="M166" i="1"/>
  <c r="L166" i="1"/>
  <c r="B168" i="1" a="1"/>
  <c r="B168" i="1" s="1"/>
  <c r="C167" i="1"/>
  <c r="U63" i="1" a="1"/>
  <c r="U63" i="1" s="1"/>
  <c r="V62" i="1"/>
  <c r="W62" i="1" s="1"/>
  <c r="X62" i="1" s="1"/>
  <c r="M61" i="1"/>
  <c r="L61" i="1"/>
  <c r="C62" i="1"/>
  <c r="J62" i="1" a="1"/>
  <c r="K62" i="1" a="1"/>
  <c r="J167" i="1" a="1"/>
  <c r="K167" i="1" a="1"/>
  <c r="N167" i="1" a="1"/>
  <c r="O167" i="1" a="1"/>
  <c r="N62" i="1" a="1"/>
  <c r="O62" i="1" a="1"/>
  <c r="Q62" i="1" a="1"/>
  <c r="Q167" i="1" a="1"/>
  <c r="Z62" i="1" a="1"/>
  <c r="L167" i="1" a="1"/>
  <c r="M167" i="1" a="1"/>
  <c r="L62" i="1" a="1"/>
  <c r="M62" i="1" a="1"/>
  <c r="K167" i="1" l="1"/>
  <c r="J167" i="1"/>
  <c r="K62" i="1"/>
  <c r="J62" i="1"/>
  <c r="O62" i="1"/>
  <c r="N62" i="1"/>
  <c r="O167" i="1"/>
  <c r="N167" i="1"/>
  <c r="Q167" i="1"/>
  <c r="Q62" i="1"/>
  <c r="Z62" i="1"/>
  <c r="AB62" i="1" s="1" a="1"/>
  <c r="AB62" i="1" s="1"/>
  <c r="M167" i="1"/>
  <c r="L167" i="1"/>
  <c r="B169" i="1" a="1"/>
  <c r="B169" i="1" s="1"/>
  <c r="C168" i="1"/>
  <c r="V63" i="1"/>
  <c r="W63" i="1" s="1"/>
  <c r="X63" i="1" s="1"/>
  <c r="M62" i="1"/>
  <c r="L62" i="1"/>
  <c r="C63" i="1"/>
  <c r="J63" i="1" a="1"/>
  <c r="K63" i="1" a="1"/>
  <c r="J168" i="1" a="1"/>
  <c r="K168" i="1" a="1"/>
  <c r="N168" i="1" a="1"/>
  <c r="O168" i="1" a="1"/>
  <c r="N63" i="1" a="1"/>
  <c r="O63" i="1" a="1"/>
  <c r="Q63" i="1" a="1"/>
  <c r="Q168" i="1" a="1"/>
  <c r="Z63" i="1" a="1"/>
  <c r="L168" i="1" a="1"/>
  <c r="M168" i="1" a="1"/>
  <c r="L63" i="1" a="1"/>
  <c r="M63" i="1" a="1"/>
  <c r="K168" i="1" l="1"/>
  <c r="J168" i="1"/>
  <c r="K63" i="1"/>
  <c r="J63" i="1"/>
  <c r="O63" i="1"/>
  <c r="N63" i="1"/>
  <c r="O168" i="1"/>
  <c r="N168" i="1"/>
  <c r="Q168" i="1"/>
  <c r="Q63" i="1"/>
  <c r="Z63" i="1"/>
  <c r="M168" i="1"/>
  <c r="L168" i="1"/>
  <c r="B170" i="1" a="1"/>
  <c r="B170" i="1" s="1"/>
  <c r="C169" i="1"/>
  <c r="M63" i="1"/>
  <c r="L63" i="1"/>
  <c r="C64" i="1"/>
  <c r="J64" i="1" a="1"/>
  <c r="K64" i="1" a="1"/>
  <c r="J169" i="1" a="1"/>
  <c r="K169" i="1" a="1"/>
  <c r="N169" i="1" a="1"/>
  <c r="O169" i="1" a="1"/>
  <c r="N64" i="1" a="1"/>
  <c r="O64" i="1" a="1"/>
  <c r="Q64" i="1" a="1"/>
  <c r="Q169" i="1" a="1"/>
  <c r="L169" i="1" a="1"/>
  <c r="M169" i="1" a="1"/>
  <c r="L64" i="1" a="1"/>
  <c r="M64" i="1" a="1"/>
  <c r="K169" i="1" l="1"/>
  <c r="J169" i="1"/>
  <c r="K64" i="1"/>
  <c r="J64" i="1"/>
  <c r="O64" i="1"/>
  <c r="N64" i="1"/>
  <c r="O169" i="1"/>
  <c r="N169" i="1"/>
  <c r="AB63" i="1" a="1"/>
  <c r="AB63" i="1" s="1"/>
  <c r="N4" i="1"/>
  <c r="Q169" i="1"/>
  <c r="Q64" i="1"/>
  <c r="M169" i="1"/>
  <c r="L169" i="1"/>
  <c r="B171" i="1" a="1"/>
  <c r="B171" i="1" s="1"/>
  <c r="C170" i="1"/>
  <c r="M64" i="1"/>
  <c r="L64" i="1"/>
  <c r="C65" i="1"/>
  <c r="J170" i="1" a="1"/>
  <c r="K170" i="1" a="1"/>
  <c r="J65" i="1" a="1"/>
  <c r="K65" i="1" a="1"/>
  <c r="N170" i="1" a="1"/>
  <c r="O170" i="1" a="1"/>
  <c r="N65" i="1" a="1"/>
  <c r="O65" i="1" a="1"/>
  <c r="Q65" i="1" a="1"/>
  <c r="Q170" i="1" a="1"/>
  <c r="L170" i="1" a="1"/>
  <c r="M170" i="1" a="1"/>
  <c r="L65" i="1" a="1"/>
  <c r="M65" i="1" a="1"/>
  <c r="K65" i="1" l="1"/>
  <c r="J65" i="1"/>
  <c r="K170" i="1"/>
  <c r="J170" i="1"/>
  <c r="O65" i="1"/>
  <c r="N65" i="1"/>
  <c r="O170" i="1"/>
  <c r="N170" i="1"/>
  <c r="Q170" i="1"/>
  <c r="Q65" i="1"/>
  <c r="M170" i="1"/>
  <c r="L170" i="1"/>
  <c r="B172" i="1" a="1"/>
  <c r="B172" i="1" s="1"/>
  <c r="C171" i="1"/>
  <c r="M65" i="1"/>
  <c r="L65" i="1"/>
  <c r="C66" i="1"/>
  <c r="J171" i="1" a="1"/>
  <c r="K171" i="1" a="1"/>
  <c r="J66" i="1" a="1"/>
  <c r="K66" i="1" a="1"/>
  <c r="N171" i="1" a="1"/>
  <c r="O171" i="1" a="1"/>
  <c r="N66" i="1" a="1"/>
  <c r="O66" i="1" a="1"/>
  <c r="Q66" i="1" a="1"/>
  <c r="Q171" i="1" a="1"/>
  <c r="L171" i="1" a="1"/>
  <c r="M171" i="1" a="1"/>
  <c r="L66" i="1" a="1"/>
  <c r="M66" i="1" a="1"/>
  <c r="K66" i="1" l="1"/>
  <c r="J66" i="1"/>
  <c r="K171" i="1"/>
  <c r="J171" i="1"/>
  <c r="O66" i="1"/>
  <c r="N66" i="1"/>
  <c r="O171" i="1"/>
  <c r="N171" i="1"/>
  <c r="Q171" i="1"/>
  <c r="Q66" i="1"/>
  <c r="M171" i="1"/>
  <c r="L171" i="1"/>
  <c r="B173" i="1" a="1"/>
  <c r="B173" i="1" s="1"/>
  <c r="C172" i="1"/>
  <c r="M66" i="1"/>
  <c r="L66" i="1"/>
  <c r="C67" i="1"/>
  <c r="J67" i="1" a="1"/>
  <c r="K67" i="1" a="1"/>
  <c r="J172" i="1" a="1"/>
  <c r="K172" i="1" a="1"/>
  <c r="N172" i="1" a="1"/>
  <c r="O172" i="1" a="1"/>
  <c r="N67" i="1" a="1"/>
  <c r="O67" i="1" a="1"/>
  <c r="Q67" i="1" a="1"/>
  <c r="Q172" i="1" a="1"/>
  <c r="L172" i="1" a="1"/>
  <c r="M172" i="1" a="1"/>
  <c r="L67" i="1" a="1"/>
  <c r="M67" i="1" a="1"/>
  <c r="K172" i="1" l="1"/>
  <c r="J172" i="1"/>
  <c r="K67" i="1"/>
  <c r="J67" i="1"/>
  <c r="O67" i="1"/>
  <c r="N67" i="1"/>
  <c r="O172" i="1"/>
  <c r="N172" i="1"/>
  <c r="Q172" i="1"/>
  <c r="Q67" i="1"/>
  <c r="M172" i="1"/>
  <c r="L172" i="1"/>
  <c r="B174" i="1" a="1"/>
  <c r="B174" i="1" s="1"/>
  <c r="C173" i="1"/>
  <c r="M67" i="1"/>
  <c r="L67" i="1"/>
  <c r="C68" i="1"/>
  <c r="J68" i="1" a="1"/>
  <c r="K68" i="1" a="1"/>
  <c r="J173" i="1" a="1"/>
  <c r="K173" i="1" a="1"/>
  <c r="N173" i="1" a="1"/>
  <c r="O173" i="1" a="1"/>
  <c r="N68" i="1" a="1"/>
  <c r="O68" i="1" a="1"/>
  <c r="Q68" i="1" a="1"/>
  <c r="Q173" i="1" a="1"/>
  <c r="L173" i="1" a="1"/>
  <c r="M173" i="1" a="1"/>
  <c r="L68" i="1" a="1"/>
  <c r="M68" i="1" a="1"/>
  <c r="K173" i="1" l="1"/>
  <c r="J173" i="1"/>
  <c r="K68" i="1"/>
  <c r="J68" i="1"/>
  <c r="O68" i="1"/>
  <c r="N68" i="1"/>
  <c r="O173" i="1"/>
  <c r="N173" i="1"/>
  <c r="Q173" i="1"/>
  <c r="Q68" i="1"/>
  <c r="M173" i="1"/>
  <c r="L173" i="1"/>
  <c r="B175" i="1" a="1"/>
  <c r="B175" i="1" s="1"/>
  <c r="C174" i="1"/>
  <c r="M68" i="1"/>
  <c r="L68" i="1"/>
  <c r="C69" i="1"/>
  <c r="J69" i="1" a="1"/>
  <c r="K69" i="1" a="1"/>
  <c r="J174" i="1" a="1"/>
  <c r="K174" i="1" a="1"/>
  <c r="N174" i="1" a="1"/>
  <c r="O174" i="1" a="1"/>
  <c r="N69" i="1" a="1"/>
  <c r="O69" i="1" a="1"/>
  <c r="Q69" i="1" a="1"/>
  <c r="Q174" i="1" a="1"/>
  <c r="L174" i="1" a="1"/>
  <c r="M174" i="1" a="1"/>
  <c r="L69" i="1" a="1"/>
  <c r="M69" i="1" a="1"/>
  <c r="K174" i="1" l="1"/>
  <c r="J174" i="1"/>
  <c r="K69" i="1"/>
  <c r="J69" i="1"/>
  <c r="O69" i="1"/>
  <c r="N69" i="1"/>
  <c r="O174" i="1"/>
  <c r="N174" i="1"/>
  <c r="Q174" i="1"/>
  <c r="Q69" i="1"/>
  <c r="M174" i="1"/>
  <c r="L174" i="1"/>
  <c r="B176" i="1" a="1"/>
  <c r="B176" i="1" s="1"/>
  <c r="C175" i="1"/>
  <c r="M69" i="1"/>
  <c r="L69" i="1"/>
  <c r="C70" i="1"/>
  <c r="J70" i="1" a="1"/>
  <c r="K70" i="1" a="1"/>
  <c r="J175" i="1" a="1"/>
  <c r="K175" i="1" a="1"/>
  <c r="N175" i="1" a="1"/>
  <c r="O175" i="1" a="1"/>
  <c r="N70" i="1" a="1"/>
  <c r="O70" i="1" a="1"/>
  <c r="Q70" i="1" a="1"/>
  <c r="Q175" i="1" a="1"/>
  <c r="L175" i="1" a="1"/>
  <c r="M175" i="1" a="1"/>
  <c r="L70" i="1" a="1"/>
  <c r="M70" i="1" a="1"/>
  <c r="K175" i="1" l="1"/>
  <c r="J175" i="1"/>
  <c r="K70" i="1"/>
  <c r="J70" i="1"/>
  <c r="O70" i="1"/>
  <c r="N70" i="1"/>
  <c r="O175" i="1"/>
  <c r="N175" i="1"/>
  <c r="Q175" i="1"/>
  <c r="Q70" i="1"/>
  <c r="M175" i="1"/>
  <c r="L175" i="1"/>
  <c r="B177" i="1" a="1"/>
  <c r="B177" i="1" s="1"/>
  <c r="C176" i="1"/>
  <c r="M70" i="1"/>
  <c r="L70" i="1"/>
  <c r="C71" i="1"/>
  <c r="J71" i="1" a="1"/>
  <c r="K71" i="1" a="1"/>
  <c r="J176" i="1" a="1"/>
  <c r="K176" i="1" a="1"/>
  <c r="N176" i="1" a="1"/>
  <c r="O176" i="1" a="1"/>
  <c r="N71" i="1" a="1"/>
  <c r="O71" i="1" a="1"/>
  <c r="Q71" i="1" a="1"/>
  <c r="Q176" i="1" a="1"/>
  <c r="L176" i="1" a="1"/>
  <c r="M176" i="1" a="1"/>
  <c r="L71" i="1" a="1"/>
  <c r="M71" i="1" a="1"/>
  <c r="K176" i="1" l="1"/>
  <c r="J176" i="1"/>
  <c r="K71" i="1"/>
  <c r="J71" i="1"/>
  <c r="O71" i="1"/>
  <c r="N71" i="1"/>
  <c r="O176" i="1"/>
  <c r="N176" i="1"/>
  <c r="Q176" i="1"/>
  <c r="Q71" i="1"/>
  <c r="M176" i="1"/>
  <c r="L176" i="1"/>
  <c r="B178" i="1" a="1"/>
  <c r="B178" i="1" s="1"/>
  <c r="C177" i="1"/>
  <c r="M71" i="1"/>
  <c r="L71" i="1"/>
  <c r="C72" i="1"/>
  <c r="J72" i="1" a="1"/>
  <c r="K72" i="1" a="1"/>
  <c r="J177" i="1" a="1"/>
  <c r="K177" i="1" a="1"/>
  <c r="N177" i="1" a="1"/>
  <c r="O177" i="1" a="1"/>
  <c r="N72" i="1" a="1"/>
  <c r="O72" i="1" a="1"/>
  <c r="Q72" i="1" a="1"/>
  <c r="Q177" i="1" a="1"/>
  <c r="L177" i="1" a="1"/>
  <c r="M177" i="1" a="1"/>
  <c r="L72" i="1" a="1"/>
  <c r="M72" i="1" a="1"/>
  <c r="K177" i="1" l="1"/>
  <c r="J177" i="1"/>
  <c r="K72" i="1"/>
  <c r="J72" i="1"/>
  <c r="O72" i="1"/>
  <c r="N72" i="1"/>
  <c r="O177" i="1"/>
  <c r="N177" i="1"/>
  <c r="Q177" i="1"/>
  <c r="Q72" i="1"/>
  <c r="M177" i="1"/>
  <c r="L177" i="1"/>
  <c r="B179" i="1" a="1"/>
  <c r="B179" i="1" s="1"/>
  <c r="C178" i="1"/>
  <c r="M72" i="1"/>
  <c r="L72" i="1"/>
  <c r="C73" i="1"/>
  <c r="J73" i="1" a="1"/>
  <c r="K73" i="1" a="1"/>
  <c r="J178" i="1" a="1"/>
  <c r="K178" i="1" a="1"/>
  <c r="N178" i="1" a="1"/>
  <c r="O178" i="1" a="1"/>
  <c r="N73" i="1" a="1"/>
  <c r="O73" i="1" a="1"/>
  <c r="Q73" i="1" a="1"/>
  <c r="Q178" i="1" a="1"/>
  <c r="M178" i="1" a="1"/>
  <c r="L178" i="1" a="1"/>
  <c r="L73" i="1" a="1"/>
  <c r="M73" i="1" a="1"/>
  <c r="K178" i="1" l="1"/>
  <c r="J178" i="1"/>
  <c r="K73" i="1"/>
  <c r="J73" i="1"/>
  <c r="O73" i="1"/>
  <c r="N73" i="1"/>
  <c r="O178" i="1"/>
  <c r="N178" i="1"/>
  <c r="Q178" i="1"/>
  <c r="Q73" i="1"/>
  <c r="L178" i="1"/>
  <c r="M178" i="1"/>
  <c r="C179" i="1"/>
  <c r="B180" i="1" a="1"/>
  <c r="B180" i="1" s="1"/>
  <c r="M73" i="1"/>
  <c r="L73" i="1"/>
  <c r="C74" i="1"/>
  <c r="J74" i="1" a="1"/>
  <c r="K74" i="1" a="1"/>
  <c r="J179" i="1" a="1"/>
  <c r="K179" i="1" a="1"/>
  <c r="N179" i="1" a="1"/>
  <c r="O179" i="1" a="1"/>
  <c r="N74" i="1" a="1"/>
  <c r="O74" i="1" a="1"/>
  <c r="Q74" i="1" a="1"/>
  <c r="Q179" i="1" a="1"/>
  <c r="L179" i="1" a="1"/>
  <c r="M179" i="1" a="1"/>
  <c r="L74" i="1" a="1"/>
  <c r="M74" i="1" a="1"/>
  <c r="K179" i="1" l="1"/>
  <c r="J179" i="1"/>
  <c r="K74" i="1"/>
  <c r="J74" i="1"/>
  <c r="O74" i="1"/>
  <c r="N74" i="1"/>
  <c r="O179" i="1"/>
  <c r="N179" i="1"/>
  <c r="Q179" i="1"/>
  <c r="Q74" i="1"/>
  <c r="M179" i="1"/>
  <c r="L179" i="1"/>
  <c r="C180" i="1"/>
  <c r="B181" i="1" a="1"/>
  <c r="B181" i="1" s="1"/>
  <c r="M74" i="1"/>
  <c r="L74" i="1"/>
  <c r="C75" i="1"/>
  <c r="J75" i="1" a="1"/>
  <c r="K75" i="1" a="1"/>
  <c r="J180" i="1" a="1"/>
  <c r="K180" i="1" a="1"/>
  <c r="N180" i="1" a="1"/>
  <c r="O180" i="1" a="1"/>
  <c r="N75" i="1" a="1"/>
  <c r="O75" i="1" a="1"/>
  <c r="Q75" i="1" a="1"/>
  <c r="Q180" i="1" a="1"/>
  <c r="L180" i="1" a="1"/>
  <c r="M180" i="1" a="1"/>
  <c r="L75" i="1" a="1"/>
  <c r="M75" i="1" a="1"/>
  <c r="K180" i="1" l="1"/>
  <c r="J180" i="1"/>
  <c r="K75" i="1"/>
  <c r="J75" i="1"/>
  <c r="O75" i="1"/>
  <c r="N75" i="1"/>
  <c r="O180" i="1"/>
  <c r="N180" i="1"/>
  <c r="Q180" i="1"/>
  <c r="Q75" i="1"/>
  <c r="M180" i="1"/>
  <c r="L180" i="1"/>
  <c r="C181" i="1"/>
  <c r="B182" i="1" a="1"/>
  <c r="B182" i="1" s="1"/>
  <c r="M75" i="1"/>
  <c r="L75" i="1"/>
  <c r="C76" i="1"/>
  <c r="J76" i="1" a="1"/>
  <c r="K76" i="1" a="1"/>
  <c r="J181" i="1" a="1"/>
  <c r="K181" i="1" a="1"/>
  <c r="N181" i="1" a="1"/>
  <c r="O181" i="1" a="1"/>
  <c r="N76" i="1" a="1"/>
  <c r="O76" i="1" a="1"/>
  <c r="Q76" i="1" a="1"/>
  <c r="Q181" i="1" a="1"/>
  <c r="L181" i="1" a="1"/>
  <c r="M181" i="1" a="1"/>
  <c r="L76" i="1" a="1"/>
  <c r="M76" i="1" a="1"/>
  <c r="K181" i="1" l="1"/>
  <c r="J181" i="1"/>
  <c r="K76" i="1"/>
  <c r="J76" i="1"/>
  <c r="O76" i="1"/>
  <c r="N76" i="1"/>
  <c r="O181" i="1"/>
  <c r="N181" i="1"/>
  <c r="Q181" i="1"/>
  <c r="Q76" i="1"/>
  <c r="M181" i="1"/>
  <c r="L181" i="1"/>
  <c r="C182" i="1"/>
  <c r="B183" i="1" a="1"/>
  <c r="B183" i="1" s="1"/>
  <c r="M76" i="1"/>
  <c r="L76" i="1"/>
  <c r="C77" i="1"/>
  <c r="J77" i="1" a="1"/>
  <c r="K77" i="1" a="1"/>
  <c r="J182" i="1" a="1"/>
  <c r="K182" i="1" a="1"/>
  <c r="N182" i="1" a="1"/>
  <c r="O182" i="1" a="1"/>
  <c r="N77" i="1" a="1"/>
  <c r="O77" i="1" a="1"/>
  <c r="Q77" i="1" a="1"/>
  <c r="Q182" i="1" a="1"/>
  <c r="L182" i="1" a="1"/>
  <c r="M182" i="1" a="1"/>
  <c r="L77" i="1" a="1"/>
  <c r="M77" i="1" a="1"/>
  <c r="K182" i="1" l="1"/>
  <c r="J182" i="1"/>
  <c r="K77" i="1"/>
  <c r="J77" i="1"/>
  <c r="O77" i="1"/>
  <c r="N77" i="1"/>
  <c r="O182" i="1"/>
  <c r="N182" i="1"/>
  <c r="Q182" i="1"/>
  <c r="Q77" i="1"/>
  <c r="M182" i="1"/>
  <c r="L182" i="1"/>
  <c r="B184" i="1" a="1"/>
  <c r="B184" i="1" s="1"/>
  <c r="C183" i="1"/>
  <c r="M77" i="1"/>
  <c r="L77" i="1"/>
  <c r="C78" i="1"/>
  <c r="J78" i="1" a="1"/>
  <c r="K78" i="1" a="1"/>
  <c r="J183" i="1" a="1"/>
  <c r="K183" i="1" a="1"/>
  <c r="N183" i="1" a="1"/>
  <c r="O183" i="1" a="1"/>
  <c r="N78" i="1" a="1"/>
  <c r="O78" i="1" a="1"/>
  <c r="Q78" i="1" a="1"/>
  <c r="Q183" i="1" a="1"/>
  <c r="L183" i="1" a="1"/>
  <c r="M183" i="1" a="1"/>
  <c r="L78" i="1" a="1"/>
  <c r="M78" i="1" a="1"/>
  <c r="K183" i="1" l="1"/>
  <c r="J183" i="1"/>
  <c r="K78" i="1"/>
  <c r="J78" i="1"/>
  <c r="O78" i="1"/>
  <c r="N78" i="1"/>
  <c r="O183" i="1"/>
  <c r="N183" i="1"/>
  <c r="Q183" i="1"/>
  <c r="Q78" i="1"/>
  <c r="M183" i="1"/>
  <c r="L183" i="1"/>
  <c r="C184" i="1"/>
  <c r="B185" i="1" a="1"/>
  <c r="B185" i="1" s="1"/>
  <c r="M78" i="1"/>
  <c r="L78" i="1"/>
  <c r="C79" i="1"/>
  <c r="J79" i="1" a="1"/>
  <c r="K79" i="1" a="1"/>
  <c r="J184" i="1" a="1"/>
  <c r="K184" i="1" a="1"/>
  <c r="N184" i="1" a="1"/>
  <c r="O184" i="1" a="1"/>
  <c r="N79" i="1" a="1"/>
  <c r="O79" i="1" a="1"/>
  <c r="Q79" i="1" a="1"/>
  <c r="Q184" i="1" a="1"/>
  <c r="L184" i="1" a="1"/>
  <c r="M184" i="1" a="1"/>
  <c r="L79" i="1" a="1"/>
  <c r="M79" i="1" a="1"/>
  <c r="K184" i="1" l="1"/>
  <c r="J184" i="1"/>
  <c r="K79" i="1"/>
  <c r="J79" i="1"/>
  <c r="O79" i="1"/>
  <c r="N79" i="1"/>
  <c r="O184" i="1"/>
  <c r="N184" i="1"/>
  <c r="Q184" i="1"/>
  <c r="Q79" i="1"/>
  <c r="M184" i="1"/>
  <c r="L184" i="1"/>
  <c r="B186" i="1" a="1"/>
  <c r="B186" i="1" s="1"/>
  <c r="C185" i="1"/>
  <c r="M79" i="1"/>
  <c r="L79" i="1"/>
  <c r="C80" i="1"/>
  <c r="J80" i="1" a="1"/>
  <c r="K80" i="1" a="1"/>
  <c r="J185" i="1" a="1"/>
  <c r="K185" i="1" a="1"/>
  <c r="N185" i="1" a="1"/>
  <c r="O185" i="1" a="1"/>
  <c r="N80" i="1" a="1"/>
  <c r="O80" i="1" a="1"/>
  <c r="Q80" i="1" a="1"/>
  <c r="Q185" i="1" a="1"/>
  <c r="L185" i="1" a="1"/>
  <c r="M185" i="1" a="1"/>
  <c r="L80" i="1" a="1"/>
  <c r="M80" i="1" a="1"/>
  <c r="K185" i="1" l="1"/>
  <c r="J185" i="1"/>
  <c r="K80" i="1"/>
  <c r="J80" i="1"/>
  <c r="O80" i="1"/>
  <c r="N80" i="1"/>
  <c r="O185" i="1"/>
  <c r="N185" i="1"/>
  <c r="Q185" i="1"/>
  <c r="Q80" i="1"/>
  <c r="M185" i="1"/>
  <c r="L185" i="1"/>
  <c r="B187" i="1" a="1"/>
  <c r="B187" i="1" s="1"/>
  <c r="C186" i="1"/>
  <c r="M80" i="1"/>
  <c r="L80" i="1"/>
  <c r="C81" i="1"/>
  <c r="J81" i="1" a="1"/>
  <c r="K81" i="1" a="1"/>
  <c r="J186" i="1" a="1"/>
  <c r="K186" i="1" a="1"/>
  <c r="N186" i="1" a="1"/>
  <c r="O186" i="1" a="1"/>
  <c r="N81" i="1" a="1"/>
  <c r="O81" i="1" a="1"/>
  <c r="Q81" i="1" a="1"/>
  <c r="Q186" i="1" a="1"/>
  <c r="L186" i="1" a="1"/>
  <c r="M186" i="1" a="1"/>
  <c r="L81" i="1" a="1"/>
  <c r="M81" i="1" a="1"/>
  <c r="K186" i="1" l="1"/>
  <c r="J186" i="1"/>
  <c r="K81" i="1"/>
  <c r="J81" i="1"/>
  <c r="O81" i="1"/>
  <c r="N81" i="1"/>
  <c r="O186" i="1"/>
  <c r="N186" i="1"/>
  <c r="Q186" i="1"/>
  <c r="Q81" i="1"/>
  <c r="M186" i="1"/>
  <c r="L186" i="1"/>
  <c r="B188" i="1" a="1"/>
  <c r="B188" i="1" s="1"/>
  <c r="C187" i="1"/>
  <c r="M81" i="1"/>
  <c r="L81" i="1"/>
  <c r="C82" i="1"/>
  <c r="J82" i="1" a="1"/>
  <c r="K82" i="1" a="1"/>
  <c r="J187" i="1" a="1"/>
  <c r="K187" i="1" a="1"/>
  <c r="N187" i="1" a="1"/>
  <c r="O187" i="1" a="1"/>
  <c r="N82" i="1" a="1"/>
  <c r="O82" i="1" a="1"/>
  <c r="Q82" i="1" a="1"/>
  <c r="Q187" i="1" a="1"/>
  <c r="L187" i="1" a="1"/>
  <c r="M187" i="1" a="1"/>
  <c r="L82" i="1" a="1"/>
  <c r="M82" i="1" a="1"/>
  <c r="K187" i="1" l="1"/>
  <c r="J187" i="1"/>
  <c r="K82" i="1"/>
  <c r="J82" i="1"/>
  <c r="O82" i="1"/>
  <c r="N82" i="1"/>
  <c r="O187" i="1"/>
  <c r="N187" i="1"/>
  <c r="Q187" i="1"/>
  <c r="Q82" i="1"/>
  <c r="M187" i="1"/>
  <c r="L187" i="1"/>
  <c r="B189" i="1" a="1"/>
  <c r="B189" i="1" s="1"/>
  <c r="C188" i="1"/>
  <c r="M82" i="1"/>
  <c r="L82" i="1"/>
  <c r="C83" i="1"/>
  <c r="J83" i="1" a="1"/>
  <c r="K83" i="1" a="1"/>
  <c r="J188" i="1" a="1"/>
  <c r="K188" i="1" a="1"/>
  <c r="N188" i="1" a="1"/>
  <c r="O188" i="1" a="1"/>
  <c r="N83" i="1" a="1"/>
  <c r="O83" i="1" a="1"/>
  <c r="Q83" i="1" a="1"/>
  <c r="Q188" i="1" a="1"/>
  <c r="L188" i="1" a="1"/>
  <c r="M188" i="1" a="1"/>
  <c r="L83" i="1" a="1"/>
  <c r="M83" i="1" a="1"/>
  <c r="K188" i="1" l="1"/>
  <c r="J188" i="1"/>
  <c r="K83" i="1"/>
  <c r="J83" i="1"/>
  <c r="O83" i="1"/>
  <c r="N83" i="1"/>
  <c r="O188" i="1"/>
  <c r="N188" i="1"/>
  <c r="Q188" i="1"/>
  <c r="Q83" i="1"/>
  <c r="M188" i="1"/>
  <c r="L188" i="1"/>
  <c r="C189" i="1"/>
  <c r="B190" i="1" a="1"/>
  <c r="B190" i="1" s="1"/>
  <c r="M83" i="1"/>
  <c r="L83" i="1"/>
  <c r="C84" i="1"/>
  <c r="J84" i="1" a="1"/>
  <c r="K84" i="1" a="1"/>
  <c r="J189" i="1" a="1"/>
  <c r="K189" i="1" a="1"/>
  <c r="N189" i="1" a="1"/>
  <c r="O189" i="1" a="1"/>
  <c r="N84" i="1" a="1"/>
  <c r="O84" i="1" a="1"/>
  <c r="Q84" i="1" a="1"/>
  <c r="Q189" i="1" a="1"/>
  <c r="L189" i="1" a="1"/>
  <c r="M189" i="1" a="1"/>
  <c r="L84" i="1" a="1"/>
  <c r="M84" i="1" a="1"/>
  <c r="K189" i="1" l="1"/>
  <c r="J189" i="1"/>
  <c r="K84" i="1"/>
  <c r="J84" i="1"/>
  <c r="O84" i="1"/>
  <c r="N84" i="1"/>
  <c r="O189" i="1"/>
  <c r="N189" i="1"/>
  <c r="Q189" i="1"/>
  <c r="Q84" i="1"/>
  <c r="M189" i="1"/>
  <c r="L189" i="1"/>
  <c r="C190" i="1"/>
  <c r="B191" i="1" a="1"/>
  <c r="B191" i="1" s="1"/>
  <c r="M84" i="1"/>
  <c r="L84" i="1"/>
  <c r="C85" i="1"/>
  <c r="J85" i="1" a="1"/>
  <c r="K85" i="1" a="1"/>
  <c r="J190" i="1" a="1"/>
  <c r="K190" i="1" a="1"/>
  <c r="N190" i="1" a="1"/>
  <c r="O190" i="1" a="1"/>
  <c r="N85" i="1" a="1"/>
  <c r="O85" i="1" a="1"/>
  <c r="Q85" i="1" a="1"/>
  <c r="Q190" i="1" a="1"/>
  <c r="L190" i="1" a="1"/>
  <c r="M190" i="1" a="1"/>
  <c r="L85" i="1" a="1"/>
  <c r="M85" i="1" a="1"/>
  <c r="K190" i="1" l="1"/>
  <c r="J190" i="1"/>
  <c r="K85" i="1"/>
  <c r="J85" i="1"/>
  <c r="O85" i="1"/>
  <c r="N85" i="1"/>
  <c r="O190" i="1"/>
  <c r="N190" i="1"/>
  <c r="Q190" i="1"/>
  <c r="Q85" i="1"/>
  <c r="M190" i="1"/>
  <c r="L190" i="1"/>
  <c r="B192" i="1" a="1"/>
  <c r="B192" i="1" s="1"/>
  <c r="C191" i="1"/>
  <c r="M85" i="1"/>
  <c r="L85" i="1"/>
  <c r="C86" i="1"/>
  <c r="J86" i="1" a="1"/>
  <c r="K86" i="1" a="1"/>
  <c r="J191" i="1" a="1"/>
  <c r="K191" i="1" a="1"/>
  <c r="N191" i="1" a="1"/>
  <c r="O191" i="1" a="1"/>
  <c r="N86" i="1" a="1"/>
  <c r="O86" i="1" a="1"/>
  <c r="Q86" i="1" a="1"/>
  <c r="Q191" i="1" a="1"/>
  <c r="L191" i="1" a="1"/>
  <c r="M191" i="1" a="1"/>
  <c r="L86" i="1" a="1"/>
  <c r="M86" i="1" a="1"/>
  <c r="K191" i="1" l="1"/>
  <c r="J191" i="1"/>
  <c r="K86" i="1"/>
  <c r="J86" i="1"/>
  <c r="O86" i="1"/>
  <c r="N86" i="1"/>
  <c r="O191" i="1"/>
  <c r="N191" i="1"/>
  <c r="Q191" i="1"/>
  <c r="Q86" i="1"/>
  <c r="M191" i="1"/>
  <c r="L191" i="1"/>
  <c r="B193" i="1" a="1"/>
  <c r="B193" i="1" s="1"/>
  <c r="C192" i="1"/>
  <c r="M86" i="1"/>
  <c r="L86" i="1"/>
  <c r="C87" i="1"/>
  <c r="J87" i="1" a="1"/>
  <c r="K87" i="1" a="1"/>
  <c r="J192" i="1" a="1"/>
  <c r="K192" i="1" a="1"/>
  <c r="N192" i="1" a="1"/>
  <c r="O192" i="1" a="1"/>
  <c r="N87" i="1" a="1"/>
  <c r="O87" i="1" a="1"/>
  <c r="Q87" i="1" a="1"/>
  <c r="Q192" i="1" a="1"/>
  <c r="L192" i="1" a="1"/>
  <c r="M192" i="1" a="1"/>
  <c r="L87" i="1" a="1"/>
  <c r="M87" i="1" a="1"/>
  <c r="K192" i="1" l="1"/>
  <c r="J192" i="1"/>
  <c r="K87" i="1"/>
  <c r="J87" i="1"/>
  <c r="O87" i="1"/>
  <c r="N87" i="1"/>
  <c r="O192" i="1"/>
  <c r="N192" i="1"/>
  <c r="Q192" i="1"/>
  <c r="Q87" i="1"/>
  <c r="M192" i="1"/>
  <c r="L192" i="1"/>
  <c r="B194" i="1" a="1"/>
  <c r="B194" i="1" s="1"/>
  <c r="C193" i="1"/>
  <c r="M87" i="1"/>
  <c r="L87" i="1"/>
  <c r="C88" i="1"/>
  <c r="J88" i="1" a="1"/>
  <c r="K88" i="1" a="1"/>
  <c r="J193" i="1" a="1"/>
  <c r="K193" i="1" a="1"/>
  <c r="N193" i="1" a="1"/>
  <c r="O193" i="1" a="1"/>
  <c r="N88" i="1" a="1"/>
  <c r="O88" i="1" a="1"/>
  <c r="Q88" i="1" a="1"/>
  <c r="Q193" i="1" a="1"/>
  <c r="L193" i="1" a="1"/>
  <c r="M193" i="1" a="1"/>
  <c r="L88" i="1" a="1"/>
  <c r="M88" i="1" a="1"/>
  <c r="K193" i="1" l="1"/>
  <c r="J193" i="1"/>
  <c r="K88" i="1"/>
  <c r="J88" i="1"/>
  <c r="O88" i="1"/>
  <c r="N88" i="1"/>
  <c r="O193" i="1"/>
  <c r="N193" i="1"/>
  <c r="Q193" i="1"/>
  <c r="Q88" i="1"/>
  <c r="M193" i="1"/>
  <c r="L193" i="1"/>
  <c r="B195" i="1" a="1"/>
  <c r="B195" i="1" s="1"/>
  <c r="C194" i="1"/>
  <c r="M88" i="1"/>
  <c r="L88" i="1"/>
  <c r="C89" i="1"/>
  <c r="J89" i="1" a="1"/>
  <c r="K89" i="1" a="1"/>
  <c r="J194" i="1" a="1"/>
  <c r="K194" i="1" a="1"/>
  <c r="N194" i="1" a="1"/>
  <c r="O194" i="1" a="1"/>
  <c r="N89" i="1" a="1"/>
  <c r="O89" i="1" a="1"/>
  <c r="Q89" i="1" a="1"/>
  <c r="Q194" i="1" a="1"/>
  <c r="L194" i="1" a="1"/>
  <c r="M194" i="1" a="1"/>
  <c r="L89" i="1" a="1"/>
  <c r="M89" i="1" a="1"/>
  <c r="K194" i="1" l="1"/>
  <c r="J194" i="1"/>
  <c r="K89" i="1"/>
  <c r="J89" i="1"/>
  <c r="O89" i="1"/>
  <c r="N89" i="1"/>
  <c r="O194" i="1"/>
  <c r="N194" i="1"/>
  <c r="Q194" i="1"/>
  <c r="Q89" i="1"/>
  <c r="M194" i="1"/>
  <c r="L194" i="1"/>
  <c r="C195" i="1"/>
  <c r="B196" i="1" a="1"/>
  <c r="B196" i="1" s="1"/>
  <c r="M89" i="1"/>
  <c r="L89" i="1"/>
  <c r="C90" i="1"/>
  <c r="J90" i="1" a="1"/>
  <c r="K90" i="1" a="1"/>
  <c r="J195" i="1" a="1"/>
  <c r="K195" i="1" a="1"/>
  <c r="N195" i="1" a="1"/>
  <c r="O195" i="1" a="1"/>
  <c r="N90" i="1" a="1"/>
  <c r="O90" i="1" a="1"/>
  <c r="Q90" i="1" a="1"/>
  <c r="Q195" i="1" a="1"/>
  <c r="L195" i="1" a="1"/>
  <c r="M195" i="1" a="1"/>
  <c r="L90" i="1" a="1"/>
  <c r="M90" i="1" a="1"/>
  <c r="K195" i="1" l="1"/>
  <c r="J195" i="1"/>
  <c r="K90" i="1"/>
  <c r="J90" i="1"/>
  <c r="O90" i="1"/>
  <c r="N90" i="1"/>
  <c r="O195" i="1"/>
  <c r="N195" i="1"/>
  <c r="Q195" i="1"/>
  <c r="Q90" i="1"/>
  <c r="M195" i="1"/>
  <c r="L195" i="1"/>
  <c r="C196" i="1"/>
  <c r="B197" i="1" a="1"/>
  <c r="B197" i="1" s="1"/>
  <c r="M90" i="1"/>
  <c r="L90" i="1"/>
  <c r="C91" i="1"/>
  <c r="J91" i="1" a="1"/>
  <c r="K91" i="1" a="1"/>
  <c r="J196" i="1" a="1"/>
  <c r="K196" i="1" a="1"/>
  <c r="N196" i="1" a="1"/>
  <c r="O196" i="1" a="1"/>
  <c r="N91" i="1" a="1"/>
  <c r="O91" i="1" a="1"/>
  <c r="Q91" i="1" a="1"/>
  <c r="Q196" i="1" a="1"/>
  <c r="L196" i="1" a="1"/>
  <c r="M196" i="1" a="1"/>
  <c r="L91" i="1" a="1"/>
  <c r="M91" i="1" a="1"/>
  <c r="K196" i="1" l="1"/>
  <c r="J196" i="1"/>
  <c r="K91" i="1"/>
  <c r="J91" i="1"/>
  <c r="O91" i="1"/>
  <c r="N91" i="1"/>
  <c r="O196" i="1"/>
  <c r="N196" i="1"/>
  <c r="Q196" i="1"/>
  <c r="Q91" i="1"/>
  <c r="M196" i="1"/>
  <c r="L196" i="1"/>
  <c r="C197" i="1"/>
  <c r="B198" i="1" a="1"/>
  <c r="B198" i="1" s="1"/>
  <c r="M91" i="1"/>
  <c r="L91" i="1"/>
  <c r="C92" i="1"/>
  <c r="J92" i="1" a="1"/>
  <c r="K92" i="1" a="1"/>
  <c r="J197" i="1" a="1"/>
  <c r="K197" i="1" a="1"/>
  <c r="N197" i="1" a="1"/>
  <c r="O197" i="1" a="1"/>
  <c r="N92" i="1" a="1"/>
  <c r="O92" i="1" a="1"/>
  <c r="Q92" i="1" a="1"/>
  <c r="Q197" i="1" a="1"/>
  <c r="L197" i="1" a="1"/>
  <c r="M197" i="1" a="1"/>
  <c r="L92" i="1" a="1"/>
  <c r="M92" i="1" a="1"/>
  <c r="K197" i="1" l="1"/>
  <c r="J197" i="1"/>
  <c r="K92" i="1"/>
  <c r="J92" i="1"/>
  <c r="O92" i="1"/>
  <c r="N92" i="1"/>
  <c r="O197" i="1"/>
  <c r="N197" i="1"/>
  <c r="Q197" i="1"/>
  <c r="Q92" i="1"/>
  <c r="M197" i="1"/>
  <c r="L197" i="1"/>
  <c r="C198" i="1"/>
  <c r="B199" i="1" a="1"/>
  <c r="B199" i="1" s="1"/>
  <c r="M92" i="1"/>
  <c r="L92" i="1"/>
  <c r="C93" i="1"/>
  <c r="J93" i="1" a="1"/>
  <c r="K93" i="1" a="1"/>
  <c r="J198" i="1" a="1"/>
  <c r="K198" i="1" a="1"/>
  <c r="N198" i="1" a="1"/>
  <c r="O198" i="1" a="1"/>
  <c r="N93" i="1" a="1"/>
  <c r="O93" i="1" a="1"/>
  <c r="Q198" i="1" a="1"/>
  <c r="Q93" i="1" a="1"/>
  <c r="M198" i="1" a="1"/>
  <c r="L198" i="1" a="1"/>
  <c r="L93" i="1" a="1"/>
  <c r="M93" i="1" a="1"/>
  <c r="K198" i="1" l="1"/>
  <c r="J198" i="1"/>
  <c r="K93" i="1"/>
  <c r="J93" i="1"/>
  <c r="O93" i="1"/>
  <c r="N93" i="1"/>
  <c r="O198" i="1"/>
  <c r="N198" i="1"/>
  <c r="Q93" i="1"/>
  <c r="Q198" i="1"/>
  <c r="L198" i="1"/>
  <c r="M198" i="1"/>
  <c r="C199" i="1"/>
  <c r="B200" i="1" a="1"/>
  <c r="B200" i="1" s="1"/>
  <c r="M93" i="1"/>
  <c r="L93" i="1"/>
  <c r="C94" i="1"/>
  <c r="J94" i="1" a="1"/>
  <c r="K94" i="1" a="1"/>
  <c r="J199" i="1" a="1"/>
  <c r="K199" i="1" a="1"/>
  <c r="N199" i="1" a="1"/>
  <c r="O199" i="1" a="1"/>
  <c r="N94" i="1" a="1"/>
  <c r="O94" i="1" a="1"/>
  <c r="Q94" i="1" a="1"/>
  <c r="Q199" i="1" a="1"/>
  <c r="L199" i="1" a="1"/>
  <c r="M199" i="1" a="1"/>
  <c r="L94" i="1" a="1"/>
  <c r="M94" i="1" a="1"/>
  <c r="K199" i="1" l="1"/>
  <c r="J199" i="1"/>
  <c r="K94" i="1"/>
  <c r="J94" i="1"/>
  <c r="O94" i="1"/>
  <c r="N94" i="1"/>
  <c r="O199" i="1"/>
  <c r="N199" i="1"/>
  <c r="Q199" i="1"/>
  <c r="Q94" i="1"/>
  <c r="M199" i="1"/>
  <c r="L199" i="1"/>
  <c r="C200" i="1"/>
  <c r="B201" i="1" a="1"/>
  <c r="B201" i="1" s="1"/>
  <c r="M94" i="1"/>
  <c r="L94" i="1"/>
  <c r="C95" i="1"/>
  <c r="J95" i="1" a="1"/>
  <c r="K95" i="1" a="1"/>
  <c r="J200" i="1" a="1"/>
  <c r="K200" i="1" a="1"/>
  <c r="N200" i="1" a="1"/>
  <c r="O200" i="1" a="1"/>
  <c r="N95" i="1" a="1"/>
  <c r="O95" i="1" a="1"/>
  <c r="Q95" i="1" a="1"/>
  <c r="Q200" i="1" a="1"/>
  <c r="L200" i="1" a="1"/>
  <c r="M200" i="1" a="1"/>
  <c r="L95" i="1" a="1"/>
  <c r="M95" i="1" a="1"/>
  <c r="K200" i="1" l="1"/>
  <c r="J200" i="1"/>
  <c r="K95" i="1"/>
  <c r="J95" i="1"/>
  <c r="O95" i="1"/>
  <c r="N95" i="1"/>
  <c r="O200" i="1"/>
  <c r="N200" i="1"/>
  <c r="Q200" i="1"/>
  <c r="Q95" i="1"/>
  <c r="M200" i="1"/>
  <c r="L200" i="1"/>
  <c r="C201" i="1"/>
  <c r="B202" i="1" a="1"/>
  <c r="B202" i="1" s="1"/>
  <c r="M95" i="1"/>
  <c r="L95" i="1"/>
  <c r="C96" i="1"/>
  <c r="J96" i="1" a="1"/>
  <c r="K96" i="1" a="1"/>
  <c r="J201" i="1" a="1"/>
  <c r="K201" i="1" a="1"/>
  <c r="N201" i="1" a="1"/>
  <c r="O201" i="1" a="1"/>
  <c r="N96" i="1" a="1"/>
  <c r="O96" i="1" a="1"/>
  <c r="Q96" i="1" a="1"/>
  <c r="Q201" i="1" a="1"/>
  <c r="L201" i="1" a="1"/>
  <c r="M201" i="1" a="1"/>
  <c r="L96" i="1" a="1"/>
  <c r="M96" i="1" a="1"/>
  <c r="K201" i="1" l="1"/>
  <c r="J201" i="1"/>
  <c r="K96" i="1"/>
  <c r="J96" i="1"/>
  <c r="O96" i="1"/>
  <c r="N96" i="1"/>
  <c r="O201" i="1"/>
  <c r="N201" i="1"/>
  <c r="Q201" i="1"/>
  <c r="Q96" i="1"/>
  <c r="M201" i="1"/>
  <c r="L201" i="1"/>
  <c r="B203" i="1" a="1"/>
  <c r="B203" i="1" s="1"/>
  <c r="C202" i="1"/>
  <c r="M96" i="1"/>
  <c r="L96" i="1"/>
  <c r="C97" i="1"/>
  <c r="J97" i="1" a="1"/>
  <c r="K97" i="1" a="1"/>
  <c r="J202" i="1" a="1"/>
  <c r="K202" i="1" a="1"/>
  <c r="N202" i="1" a="1"/>
  <c r="O202" i="1" a="1"/>
  <c r="N97" i="1" a="1"/>
  <c r="O97" i="1" a="1"/>
  <c r="Q97" i="1" a="1"/>
  <c r="Q202" i="1" a="1"/>
  <c r="L202" i="1" a="1"/>
  <c r="M202" i="1" a="1"/>
  <c r="L97" i="1" a="1"/>
  <c r="M97" i="1" a="1"/>
  <c r="K202" i="1" l="1"/>
  <c r="J202" i="1"/>
  <c r="K97" i="1"/>
  <c r="J97" i="1"/>
  <c r="O97" i="1"/>
  <c r="N97" i="1"/>
  <c r="O202" i="1"/>
  <c r="N202" i="1"/>
  <c r="Q202" i="1"/>
  <c r="Q97" i="1"/>
  <c r="M202" i="1"/>
  <c r="L202" i="1"/>
  <c r="B204" i="1" a="1"/>
  <c r="B204" i="1" s="1"/>
  <c r="C203" i="1"/>
  <c r="M97" i="1"/>
  <c r="L97" i="1"/>
  <c r="C98" i="1"/>
  <c r="J98" i="1" a="1"/>
  <c r="K98" i="1" a="1"/>
  <c r="J203" i="1" a="1"/>
  <c r="K203" i="1" a="1"/>
  <c r="N203" i="1" a="1"/>
  <c r="O203" i="1" a="1"/>
  <c r="N98" i="1" a="1"/>
  <c r="O98" i="1" a="1"/>
  <c r="Q98" i="1" a="1"/>
  <c r="Q203" i="1" a="1"/>
  <c r="L203" i="1" a="1"/>
  <c r="M203" i="1" a="1"/>
  <c r="L98" i="1" a="1"/>
  <c r="M98" i="1" a="1"/>
  <c r="K203" i="1" l="1"/>
  <c r="J203" i="1"/>
  <c r="K98" i="1"/>
  <c r="J98" i="1"/>
  <c r="O98" i="1"/>
  <c r="N98" i="1"/>
  <c r="O203" i="1"/>
  <c r="N203" i="1"/>
  <c r="Q203" i="1"/>
  <c r="Q98" i="1"/>
  <c r="M203" i="1"/>
  <c r="L203" i="1"/>
  <c r="C204" i="1"/>
  <c r="B205" i="1" a="1"/>
  <c r="B205" i="1" s="1"/>
  <c r="M98" i="1"/>
  <c r="L98" i="1"/>
  <c r="C99" i="1"/>
  <c r="J99" i="1" a="1"/>
  <c r="K99" i="1" a="1"/>
  <c r="J204" i="1" a="1"/>
  <c r="K204" i="1" a="1"/>
  <c r="N204" i="1" a="1"/>
  <c r="O204" i="1" a="1"/>
  <c r="N99" i="1" a="1"/>
  <c r="O99" i="1" a="1"/>
  <c r="Q99" i="1" a="1"/>
  <c r="Q204" i="1" a="1"/>
  <c r="L204" i="1" a="1"/>
  <c r="M204" i="1" a="1"/>
  <c r="L99" i="1" a="1"/>
  <c r="M99" i="1" a="1"/>
  <c r="K204" i="1" l="1"/>
  <c r="J204" i="1"/>
  <c r="K99" i="1"/>
  <c r="J99" i="1"/>
  <c r="O99" i="1"/>
  <c r="N99" i="1"/>
  <c r="O204" i="1"/>
  <c r="N204" i="1"/>
  <c r="Q204" i="1"/>
  <c r="Q99" i="1"/>
  <c r="M204" i="1"/>
  <c r="L204" i="1"/>
  <c r="B206" i="1" a="1"/>
  <c r="B206" i="1" s="1"/>
  <c r="C205" i="1"/>
  <c r="M99" i="1"/>
  <c r="L99" i="1"/>
  <c r="C100" i="1"/>
  <c r="J100" i="1" a="1"/>
  <c r="K100" i="1" a="1"/>
  <c r="J205" i="1" a="1"/>
  <c r="K205" i="1" a="1"/>
  <c r="N205" i="1" a="1"/>
  <c r="O205" i="1" a="1"/>
  <c r="N100" i="1" a="1"/>
  <c r="O100" i="1" a="1"/>
  <c r="Q100" i="1" a="1"/>
  <c r="Q205" i="1" a="1"/>
  <c r="L205" i="1" a="1"/>
  <c r="M205" i="1" a="1"/>
  <c r="L100" i="1" a="1"/>
  <c r="M100" i="1" a="1"/>
  <c r="K205" i="1" l="1"/>
  <c r="J205" i="1"/>
  <c r="K100" i="1"/>
  <c r="J100" i="1"/>
  <c r="O100" i="1"/>
  <c r="N100" i="1"/>
  <c r="O205" i="1"/>
  <c r="N205" i="1"/>
  <c r="Q205" i="1"/>
  <c r="Q100" i="1"/>
  <c r="M205" i="1"/>
  <c r="L205" i="1"/>
  <c r="C206" i="1"/>
  <c r="B207" i="1" a="1"/>
  <c r="B207" i="1" s="1"/>
  <c r="M100" i="1"/>
  <c r="L100" i="1"/>
  <c r="C101" i="1"/>
  <c r="J101" i="1" a="1"/>
  <c r="K101" i="1" a="1"/>
  <c r="J206" i="1" a="1"/>
  <c r="K206" i="1" a="1"/>
  <c r="N206" i="1" a="1"/>
  <c r="O206" i="1" a="1"/>
  <c r="N101" i="1" a="1"/>
  <c r="O101" i="1" a="1"/>
  <c r="Q101" i="1" a="1"/>
  <c r="Q206" i="1" a="1"/>
  <c r="L206" i="1" a="1"/>
  <c r="M206" i="1" a="1"/>
  <c r="L101" i="1" a="1"/>
  <c r="M101" i="1" a="1"/>
  <c r="K206" i="1" l="1"/>
  <c r="J206" i="1"/>
  <c r="K101" i="1"/>
  <c r="J101" i="1"/>
  <c r="O101" i="1"/>
  <c r="N101" i="1"/>
  <c r="O206" i="1"/>
  <c r="N206" i="1"/>
  <c r="Q206" i="1"/>
  <c r="Q101" i="1"/>
  <c r="M206" i="1"/>
  <c r="L206" i="1"/>
  <c r="B208" i="1" a="1"/>
  <c r="B208" i="1" s="1"/>
  <c r="C207" i="1"/>
  <c r="M101" i="1"/>
  <c r="L101" i="1"/>
  <c r="C102" i="1"/>
  <c r="J102" i="1" a="1"/>
  <c r="K102" i="1" a="1"/>
  <c r="J207" i="1" a="1"/>
  <c r="K207" i="1" a="1"/>
  <c r="N207" i="1" a="1"/>
  <c r="O207" i="1" a="1"/>
  <c r="N102" i="1" a="1"/>
  <c r="O102" i="1" a="1"/>
  <c r="Q102" i="1" a="1"/>
  <c r="Q207" i="1" a="1"/>
  <c r="L207" i="1" a="1"/>
  <c r="M207" i="1" a="1"/>
  <c r="L102" i="1" a="1"/>
  <c r="M102" i="1" a="1"/>
  <c r="K207" i="1" l="1"/>
  <c r="J207" i="1"/>
  <c r="K102" i="1"/>
  <c r="J102" i="1"/>
  <c r="O102" i="1"/>
  <c r="N102" i="1"/>
  <c r="O207" i="1"/>
  <c r="N207" i="1"/>
  <c r="Q207" i="1"/>
  <c r="Q102" i="1"/>
  <c r="M207" i="1"/>
  <c r="L207" i="1"/>
  <c r="B209" i="1" a="1"/>
  <c r="B209" i="1" s="1"/>
  <c r="C208" i="1"/>
  <c r="M102" i="1"/>
  <c r="L102" i="1"/>
  <c r="C103" i="1"/>
  <c r="J103" i="1" a="1"/>
  <c r="K103" i="1" a="1"/>
  <c r="J208" i="1" a="1"/>
  <c r="K208" i="1" a="1"/>
  <c r="N208" i="1" a="1"/>
  <c r="O208" i="1" a="1"/>
  <c r="N103" i="1" a="1"/>
  <c r="O103" i="1" a="1"/>
  <c r="Q103" i="1" a="1"/>
  <c r="Q208" i="1" a="1"/>
  <c r="L208" i="1" a="1"/>
  <c r="M208" i="1" a="1"/>
  <c r="L103" i="1" a="1"/>
  <c r="M103" i="1" a="1"/>
  <c r="K208" i="1" l="1"/>
  <c r="J208" i="1"/>
  <c r="K103" i="1"/>
  <c r="J103" i="1"/>
  <c r="O103" i="1"/>
  <c r="N103" i="1"/>
  <c r="O208" i="1"/>
  <c r="N208" i="1"/>
  <c r="Q208" i="1"/>
  <c r="Q103" i="1"/>
  <c r="M208" i="1"/>
  <c r="L208" i="1"/>
  <c r="C209" i="1"/>
  <c r="B210" i="1" a="1"/>
  <c r="B210" i="1" s="1"/>
  <c r="M103" i="1"/>
  <c r="L103" i="1"/>
  <c r="C104" i="1"/>
  <c r="J104" i="1" a="1"/>
  <c r="K104" i="1" a="1"/>
  <c r="J209" i="1" a="1"/>
  <c r="K209" i="1" a="1"/>
  <c r="N209" i="1" a="1"/>
  <c r="O209" i="1" a="1"/>
  <c r="N104" i="1" a="1"/>
  <c r="O104" i="1" a="1"/>
  <c r="Q104" i="1" a="1"/>
  <c r="Q209" i="1" a="1"/>
  <c r="L209" i="1" a="1"/>
  <c r="M209" i="1" a="1"/>
  <c r="L104" i="1" a="1"/>
  <c r="M104" i="1" a="1"/>
  <c r="K209" i="1" l="1"/>
  <c r="J209" i="1"/>
  <c r="K104" i="1"/>
  <c r="J104" i="1"/>
  <c r="O104" i="1"/>
  <c r="N104" i="1"/>
  <c r="O209" i="1"/>
  <c r="N209" i="1"/>
  <c r="Q209" i="1"/>
  <c r="Q104" i="1"/>
  <c r="M209" i="1"/>
  <c r="L209" i="1"/>
  <c r="B211" i="1" a="1"/>
  <c r="B211" i="1" s="1"/>
  <c r="C210" i="1"/>
  <c r="M104" i="1"/>
  <c r="L104" i="1"/>
  <c r="C105" i="1"/>
  <c r="J105" i="1" a="1"/>
  <c r="K105" i="1" a="1"/>
  <c r="J210" i="1" a="1"/>
  <c r="K210" i="1" a="1"/>
  <c r="N210" i="1" a="1"/>
  <c r="O210" i="1" a="1"/>
  <c r="N105" i="1" a="1"/>
  <c r="O105" i="1" a="1"/>
  <c r="Q105" i="1" a="1"/>
  <c r="Q210" i="1" a="1"/>
  <c r="L210" i="1" a="1"/>
  <c r="M210" i="1" a="1"/>
  <c r="L105" i="1" a="1"/>
  <c r="M105" i="1" a="1"/>
  <c r="K210" i="1" l="1"/>
  <c r="J210" i="1"/>
  <c r="K105" i="1"/>
  <c r="J105" i="1"/>
  <c r="O105" i="1"/>
  <c r="N105" i="1"/>
  <c r="O210" i="1"/>
  <c r="N210" i="1"/>
  <c r="Q210" i="1"/>
  <c r="Q105" i="1"/>
  <c r="M210" i="1"/>
  <c r="L210" i="1"/>
  <c r="B212" i="1" a="1"/>
  <c r="B212" i="1" s="1"/>
  <c r="C211" i="1"/>
  <c r="M105" i="1"/>
  <c r="L105" i="1"/>
  <c r="C106" i="1"/>
  <c r="J106" i="1" a="1"/>
  <c r="K106" i="1" a="1"/>
  <c r="J211" i="1" a="1"/>
  <c r="K211" i="1" a="1"/>
  <c r="N211" i="1" a="1"/>
  <c r="O211" i="1" a="1"/>
  <c r="N106" i="1" a="1"/>
  <c r="O106" i="1" a="1"/>
  <c r="Q106" i="1" a="1"/>
  <c r="Q211" i="1" a="1"/>
  <c r="L211" i="1" a="1"/>
  <c r="M211" i="1" a="1"/>
  <c r="L106" i="1" a="1"/>
  <c r="M106" i="1" a="1"/>
  <c r="K211" i="1" l="1"/>
  <c r="J211" i="1"/>
  <c r="K106" i="1"/>
  <c r="J106" i="1"/>
  <c r="O106" i="1"/>
  <c r="N106" i="1"/>
  <c r="O211" i="1"/>
  <c r="N211" i="1"/>
  <c r="Q211" i="1"/>
  <c r="Q106" i="1"/>
  <c r="M211" i="1"/>
  <c r="L211" i="1"/>
  <c r="C212" i="1"/>
  <c r="B213" i="1" a="1"/>
  <c r="B213" i="1" s="1"/>
  <c r="M106" i="1"/>
  <c r="L106" i="1"/>
  <c r="C107" i="1"/>
  <c r="J107" i="1" a="1"/>
  <c r="K107" i="1" a="1"/>
  <c r="J212" i="1" a="1"/>
  <c r="K212" i="1" a="1"/>
  <c r="N212" i="1" a="1"/>
  <c r="O212" i="1" a="1"/>
  <c r="N107" i="1" a="1"/>
  <c r="O107" i="1" a="1"/>
  <c r="Q107" i="1" a="1"/>
  <c r="Q212" i="1" a="1"/>
  <c r="L212" i="1" a="1"/>
  <c r="M212" i="1" a="1"/>
  <c r="L107" i="1" a="1"/>
  <c r="M107" i="1" a="1"/>
  <c r="K212" i="1" l="1"/>
  <c r="J212" i="1"/>
  <c r="K107" i="1"/>
  <c r="J107" i="1"/>
  <c r="O107" i="1"/>
  <c r="N107" i="1"/>
  <c r="O212" i="1"/>
  <c r="N212" i="1"/>
  <c r="Q212" i="1"/>
  <c r="Q107" i="1"/>
  <c r="M212" i="1"/>
  <c r="L212" i="1"/>
  <c r="C213" i="1"/>
  <c r="B214" i="1" a="1"/>
  <c r="B214" i="1" s="1"/>
  <c r="M107" i="1"/>
  <c r="L107" i="1"/>
  <c r="C108" i="1"/>
  <c r="J108" i="1" a="1"/>
  <c r="K108" i="1" a="1"/>
  <c r="J213" i="1" a="1"/>
  <c r="K213" i="1" a="1"/>
  <c r="N213" i="1" a="1"/>
  <c r="O213" i="1" a="1"/>
  <c r="N108" i="1" a="1"/>
  <c r="O108" i="1" a="1"/>
  <c r="Q108" i="1" a="1"/>
  <c r="Q213" i="1" a="1"/>
  <c r="L213" i="1" a="1"/>
  <c r="M213" i="1" a="1"/>
  <c r="L108" i="1" a="1"/>
  <c r="M108" i="1" a="1"/>
  <c r="K213" i="1" l="1"/>
  <c r="J213" i="1"/>
  <c r="K108" i="1"/>
  <c r="J108" i="1"/>
  <c r="O108" i="1"/>
  <c r="N108" i="1"/>
  <c r="O213" i="1"/>
  <c r="N213" i="1"/>
  <c r="Q213" i="1"/>
  <c r="Q108" i="1"/>
  <c r="M213" i="1"/>
  <c r="L213" i="1"/>
  <c r="C214" i="1"/>
  <c r="B215" i="1" a="1"/>
  <c r="B215" i="1" s="1"/>
  <c r="M108" i="1"/>
  <c r="L108" i="1"/>
  <c r="C109" i="1"/>
  <c r="J109" i="1" a="1"/>
  <c r="K109" i="1" a="1"/>
  <c r="J214" i="1" a="1"/>
  <c r="K214" i="1" a="1"/>
  <c r="N214" i="1" a="1"/>
  <c r="O214" i="1" a="1"/>
  <c r="N109" i="1" a="1"/>
  <c r="O109" i="1" a="1"/>
  <c r="Q109" i="1" a="1"/>
  <c r="Q214" i="1" a="1"/>
  <c r="L214" i="1" a="1"/>
  <c r="M214" i="1" a="1"/>
  <c r="L109" i="1" a="1"/>
  <c r="M109" i="1" a="1"/>
  <c r="K214" i="1" l="1"/>
  <c r="J214" i="1"/>
  <c r="K109" i="1"/>
  <c r="J109" i="1"/>
  <c r="O109" i="1"/>
  <c r="N109" i="1"/>
  <c r="O214" i="1"/>
  <c r="N214" i="1"/>
  <c r="Q214" i="1"/>
  <c r="Q109" i="1"/>
  <c r="M214" i="1"/>
  <c r="L214" i="1"/>
  <c r="C215" i="1"/>
  <c r="B216" i="1" a="1"/>
  <c r="B216" i="1" s="1"/>
  <c r="M109" i="1"/>
  <c r="L109" i="1"/>
  <c r="C110" i="1"/>
  <c r="J110" i="1" a="1"/>
  <c r="K110" i="1" a="1"/>
  <c r="J215" i="1" a="1"/>
  <c r="K215" i="1" a="1"/>
  <c r="N215" i="1" a="1"/>
  <c r="O215" i="1" a="1"/>
  <c r="N110" i="1" a="1"/>
  <c r="O110" i="1" a="1"/>
  <c r="Q110" i="1" a="1"/>
  <c r="Q215" i="1" a="1"/>
  <c r="L215" i="1" a="1"/>
  <c r="M215" i="1" a="1"/>
  <c r="L110" i="1" a="1"/>
  <c r="M110" i="1" a="1"/>
  <c r="K215" i="1" l="1"/>
  <c r="J215" i="1"/>
  <c r="K110" i="1"/>
  <c r="J110" i="1"/>
  <c r="O110" i="1"/>
  <c r="N110" i="1"/>
  <c r="O215" i="1"/>
  <c r="N215" i="1"/>
  <c r="Q215" i="1"/>
  <c r="Q110" i="1"/>
  <c r="M215" i="1"/>
  <c r="L215" i="1"/>
  <c r="C216" i="1"/>
  <c r="B217" i="1" a="1"/>
  <c r="B217" i="1" s="1"/>
  <c r="M110" i="1"/>
  <c r="L110" i="1"/>
  <c r="C111" i="1"/>
  <c r="J111" i="1" a="1"/>
  <c r="K111" i="1" a="1"/>
  <c r="J216" i="1" a="1"/>
  <c r="K216" i="1" a="1"/>
  <c r="N216" i="1" a="1"/>
  <c r="O216" i="1" a="1"/>
  <c r="N111" i="1" a="1"/>
  <c r="O111" i="1" a="1"/>
  <c r="Q111" i="1" a="1"/>
  <c r="Q216" i="1" a="1"/>
  <c r="L216" i="1" a="1"/>
  <c r="M216" i="1" a="1"/>
  <c r="L111" i="1" a="1"/>
  <c r="M111" i="1" a="1"/>
  <c r="K216" i="1" l="1"/>
  <c r="J216" i="1"/>
  <c r="K111" i="1"/>
  <c r="J111" i="1"/>
  <c r="O111" i="1"/>
  <c r="N111" i="1"/>
  <c r="O216" i="1"/>
  <c r="N216" i="1"/>
  <c r="Q216" i="1"/>
  <c r="Q111" i="1"/>
  <c r="M216" i="1"/>
  <c r="L216" i="1"/>
  <c r="C217" i="1"/>
  <c r="B218" i="1" a="1"/>
  <c r="B218" i="1" s="1"/>
  <c r="M111" i="1"/>
  <c r="L111" i="1"/>
  <c r="C112" i="1"/>
  <c r="J112" i="1" a="1"/>
  <c r="K112" i="1" a="1"/>
  <c r="J217" i="1" a="1"/>
  <c r="K217" i="1" a="1"/>
  <c r="N217" i="1" a="1"/>
  <c r="O217" i="1" a="1"/>
  <c r="N112" i="1" a="1"/>
  <c r="O112" i="1" a="1"/>
  <c r="Q112" i="1" a="1"/>
  <c r="Q217" i="1" a="1"/>
  <c r="L217" i="1" a="1"/>
  <c r="M217" i="1" a="1"/>
  <c r="L112" i="1" a="1"/>
  <c r="M112" i="1" a="1"/>
  <c r="K217" i="1" l="1"/>
  <c r="J217" i="1"/>
  <c r="K112" i="1"/>
  <c r="J112" i="1"/>
  <c r="O112" i="1"/>
  <c r="N112" i="1"/>
  <c r="O217" i="1"/>
  <c r="N217" i="1"/>
  <c r="Q217" i="1"/>
  <c r="Q112" i="1"/>
  <c r="M217" i="1"/>
  <c r="L217" i="1"/>
  <c r="C218" i="1"/>
  <c r="B219" i="1" a="1"/>
  <c r="B219" i="1" s="1"/>
  <c r="M112" i="1"/>
  <c r="L112" i="1"/>
  <c r="C113" i="1"/>
  <c r="J113" i="1" a="1"/>
  <c r="K113" i="1" a="1"/>
  <c r="J218" i="1" a="1"/>
  <c r="K218" i="1" a="1"/>
  <c r="N218" i="1" a="1"/>
  <c r="O218" i="1" a="1"/>
  <c r="N113" i="1" a="1"/>
  <c r="O113" i="1" a="1"/>
  <c r="Q113" i="1" a="1"/>
  <c r="Q218" i="1" a="1"/>
  <c r="L218" i="1" a="1"/>
  <c r="M218" i="1" a="1"/>
  <c r="L113" i="1" a="1"/>
  <c r="M113" i="1" a="1"/>
  <c r="K218" i="1" l="1"/>
  <c r="J218" i="1"/>
  <c r="K113" i="1"/>
  <c r="J113" i="1"/>
  <c r="O113" i="1"/>
  <c r="N113" i="1"/>
  <c r="O218" i="1"/>
  <c r="N218" i="1"/>
  <c r="Q218" i="1"/>
  <c r="Q113" i="1"/>
  <c r="M218" i="1"/>
  <c r="L218" i="1"/>
  <c r="C219" i="1"/>
  <c r="B220" i="1" a="1"/>
  <c r="B220" i="1" s="1"/>
  <c r="M113" i="1"/>
  <c r="L113" i="1"/>
  <c r="C114" i="1"/>
  <c r="J114" i="1" a="1"/>
  <c r="K114" i="1" a="1"/>
  <c r="J219" i="1" a="1"/>
  <c r="K219" i="1" a="1"/>
  <c r="N219" i="1" a="1"/>
  <c r="O219" i="1" a="1"/>
  <c r="N114" i="1" a="1"/>
  <c r="O114" i="1" a="1"/>
  <c r="Q114" i="1" a="1"/>
  <c r="Q219" i="1" a="1"/>
  <c r="L219" i="1" a="1"/>
  <c r="M219" i="1" a="1"/>
  <c r="L114" i="1" a="1"/>
  <c r="M114" i="1" a="1"/>
  <c r="K219" i="1" l="1"/>
  <c r="J219" i="1"/>
  <c r="K114" i="1"/>
  <c r="J114" i="1"/>
  <c r="O114" i="1"/>
  <c r="N114" i="1"/>
  <c r="O219" i="1"/>
  <c r="N219" i="1"/>
  <c r="Q219" i="1"/>
  <c r="Q114" i="1"/>
  <c r="M219" i="1"/>
  <c r="L219" i="1"/>
  <c r="C220" i="1"/>
  <c r="B221" i="1" a="1"/>
  <c r="B221" i="1" s="1"/>
  <c r="M114" i="1"/>
  <c r="L114" i="1"/>
  <c r="C115" i="1"/>
  <c r="J115" i="1" a="1"/>
  <c r="K115" i="1" a="1"/>
  <c r="J220" i="1" a="1"/>
  <c r="K220" i="1" a="1"/>
  <c r="N220" i="1" a="1"/>
  <c r="O220" i="1" a="1"/>
  <c r="N115" i="1" a="1"/>
  <c r="O115" i="1" a="1"/>
  <c r="Q115" i="1" a="1"/>
  <c r="Q220" i="1" a="1"/>
  <c r="M220" i="1" a="1"/>
  <c r="L220" i="1" a="1"/>
  <c r="L115" i="1" a="1"/>
  <c r="M115" i="1" a="1"/>
  <c r="K220" i="1" l="1"/>
  <c r="J220" i="1"/>
  <c r="K115" i="1"/>
  <c r="J115" i="1"/>
  <c r="O115" i="1"/>
  <c r="N115" i="1"/>
  <c r="O220" i="1"/>
  <c r="N220" i="1"/>
  <c r="Q220" i="1"/>
  <c r="Q115" i="1"/>
  <c r="L220" i="1"/>
  <c r="M220" i="1"/>
  <c r="C221" i="1"/>
  <c r="B222" i="1" a="1"/>
  <c r="B222" i="1" s="1"/>
  <c r="M115" i="1"/>
  <c r="L115" i="1"/>
  <c r="C116" i="1"/>
  <c r="J116" i="1" a="1"/>
  <c r="K116" i="1" a="1"/>
  <c r="J221" i="1" a="1"/>
  <c r="K221" i="1" a="1"/>
  <c r="N221" i="1" a="1"/>
  <c r="O221" i="1" a="1"/>
  <c r="N116" i="1" a="1"/>
  <c r="O116" i="1" a="1"/>
  <c r="Q116" i="1" a="1"/>
  <c r="Q221" i="1" a="1"/>
  <c r="L221" i="1" a="1"/>
  <c r="M221" i="1" a="1"/>
  <c r="L116" i="1" a="1"/>
  <c r="M116" i="1" a="1"/>
  <c r="K221" i="1" l="1"/>
  <c r="J221" i="1"/>
  <c r="K116" i="1"/>
  <c r="J116" i="1"/>
  <c r="O116" i="1"/>
  <c r="N116" i="1"/>
  <c r="O221" i="1"/>
  <c r="N221" i="1"/>
  <c r="Q221" i="1"/>
  <c r="Q116" i="1"/>
  <c r="M221" i="1"/>
  <c r="L221" i="1"/>
  <c r="C222" i="1"/>
  <c r="B223" i="1" a="1"/>
  <c r="B223" i="1" s="1"/>
  <c r="M116" i="1"/>
  <c r="L116" i="1"/>
  <c r="C117" i="1"/>
  <c r="J117" i="1" a="1"/>
  <c r="K117" i="1" a="1"/>
  <c r="J222" i="1" a="1"/>
  <c r="K222" i="1" a="1"/>
  <c r="N222" i="1" a="1"/>
  <c r="O222" i="1" a="1"/>
  <c r="N117" i="1" a="1"/>
  <c r="O117" i="1" a="1"/>
  <c r="Q117" i="1" a="1"/>
  <c r="Q222" i="1" a="1"/>
  <c r="L222" i="1" a="1"/>
  <c r="M222" i="1" a="1"/>
  <c r="L117" i="1" a="1"/>
  <c r="M117" i="1" a="1"/>
  <c r="K222" i="1" l="1"/>
  <c r="J222" i="1"/>
  <c r="K117" i="1"/>
  <c r="J117" i="1"/>
  <c r="O117" i="1"/>
  <c r="N117" i="1"/>
  <c r="O222" i="1"/>
  <c r="N222" i="1"/>
  <c r="Q222" i="1"/>
  <c r="Q117" i="1"/>
  <c r="M222" i="1"/>
  <c r="L222" i="1"/>
  <c r="B224" i="1" a="1"/>
  <c r="B224" i="1" s="1"/>
  <c r="C223" i="1"/>
  <c r="M117" i="1"/>
  <c r="L117" i="1"/>
  <c r="C118" i="1"/>
  <c r="J118" i="1" a="1"/>
  <c r="K118" i="1" a="1"/>
  <c r="J223" i="1" a="1"/>
  <c r="K223" i="1" a="1"/>
  <c r="N223" i="1" a="1"/>
  <c r="O223" i="1" a="1"/>
  <c r="N118" i="1" a="1"/>
  <c r="O118" i="1" a="1"/>
  <c r="Q118" i="1" a="1"/>
  <c r="Q223" i="1" a="1"/>
  <c r="L223" i="1" a="1"/>
  <c r="M223" i="1" a="1"/>
  <c r="L118" i="1" a="1"/>
  <c r="M118" i="1" a="1"/>
  <c r="K223" i="1" l="1"/>
  <c r="J223" i="1"/>
  <c r="K118" i="1"/>
  <c r="J118" i="1"/>
  <c r="O118" i="1"/>
  <c r="N118" i="1"/>
  <c r="O223" i="1"/>
  <c r="N223" i="1"/>
  <c r="Q223" i="1"/>
  <c r="Q118" i="1"/>
  <c r="M223" i="1"/>
  <c r="L223" i="1"/>
  <c r="C224" i="1"/>
  <c r="B225" i="1" a="1"/>
  <c r="B225" i="1" s="1"/>
  <c r="M118" i="1"/>
  <c r="L118" i="1"/>
  <c r="C119" i="1"/>
  <c r="J119" i="1" a="1"/>
  <c r="K119" i="1" a="1"/>
  <c r="J224" i="1" a="1"/>
  <c r="K224" i="1" a="1"/>
  <c r="N224" i="1" a="1"/>
  <c r="O224" i="1" a="1"/>
  <c r="N119" i="1" a="1"/>
  <c r="O119" i="1" a="1"/>
  <c r="Q119" i="1" a="1"/>
  <c r="Q224" i="1" a="1"/>
  <c r="M224" i="1" a="1"/>
  <c r="L224" i="1" a="1"/>
  <c r="L119" i="1" a="1"/>
  <c r="M119" i="1" a="1"/>
  <c r="K224" i="1" l="1"/>
  <c r="J224" i="1"/>
  <c r="K119" i="1"/>
  <c r="J119" i="1"/>
  <c r="O119" i="1"/>
  <c r="N119" i="1"/>
  <c r="O224" i="1"/>
  <c r="N224" i="1"/>
  <c r="Q224" i="1"/>
  <c r="Q119" i="1"/>
  <c r="L224" i="1"/>
  <c r="M224" i="1"/>
  <c r="C225" i="1"/>
  <c r="B226" i="1" a="1"/>
  <c r="B226" i="1" s="1"/>
  <c r="M119" i="1"/>
  <c r="L119" i="1"/>
  <c r="C120" i="1"/>
  <c r="J120" i="1" a="1"/>
  <c r="K120" i="1" a="1"/>
  <c r="J225" i="1" a="1"/>
  <c r="K225" i="1" a="1"/>
  <c r="N225" i="1" a="1"/>
  <c r="O225" i="1" a="1"/>
  <c r="N120" i="1" a="1"/>
  <c r="O120" i="1" a="1"/>
  <c r="Q120" i="1" a="1"/>
  <c r="Q225" i="1" a="1"/>
  <c r="L225" i="1" a="1"/>
  <c r="M225" i="1" a="1"/>
  <c r="L120" i="1" a="1"/>
  <c r="M120" i="1" a="1"/>
  <c r="K225" i="1" l="1"/>
  <c r="J225" i="1"/>
  <c r="K120" i="1"/>
  <c r="J120" i="1"/>
  <c r="O120" i="1"/>
  <c r="N120" i="1"/>
  <c r="O225" i="1"/>
  <c r="N225" i="1"/>
  <c r="Q225" i="1"/>
  <c r="Q120" i="1"/>
  <c r="M225" i="1"/>
  <c r="L225" i="1"/>
  <c r="C226" i="1"/>
  <c r="B227" i="1" a="1"/>
  <c r="B227" i="1" s="1"/>
  <c r="M120" i="1"/>
  <c r="L120" i="1"/>
  <c r="C121" i="1"/>
  <c r="J121" i="1" a="1"/>
  <c r="K121" i="1" a="1"/>
  <c r="J226" i="1" a="1"/>
  <c r="K226" i="1" a="1"/>
  <c r="N226" i="1" a="1"/>
  <c r="O226" i="1" a="1"/>
  <c r="N121" i="1" a="1"/>
  <c r="O121" i="1" a="1"/>
  <c r="Q121" i="1" a="1"/>
  <c r="Q226" i="1" a="1"/>
  <c r="L226" i="1" a="1"/>
  <c r="M226" i="1" a="1"/>
  <c r="L121" i="1" a="1"/>
  <c r="M121" i="1" a="1"/>
  <c r="K226" i="1" l="1"/>
  <c r="J226" i="1"/>
  <c r="K121" i="1"/>
  <c r="J121" i="1"/>
  <c r="O121" i="1"/>
  <c r="N121" i="1"/>
  <c r="O226" i="1"/>
  <c r="N226" i="1"/>
  <c r="Q226" i="1"/>
  <c r="Q121" i="1"/>
  <c r="M226" i="1"/>
  <c r="L226" i="1"/>
  <c r="B228" i="1" a="1"/>
  <c r="B228" i="1" s="1"/>
  <c r="C227" i="1"/>
  <c r="M121" i="1"/>
  <c r="L121" i="1"/>
  <c r="C122" i="1"/>
  <c r="J122" i="1" a="1"/>
  <c r="K122" i="1" a="1"/>
  <c r="J227" i="1" a="1"/>
  <c r="K227" i="1" a="1"/>
  <c r="N227" i="1" a="1"/>
  <c r="O227" i="1" a="1"/>
  <c r="N122" i="1" a="1"/>
  <c r="O122" i="1" a="1"/>
  <c r="Q122" i="1" a="1"/>
  <c r="Q227" i="1" a="1"/>
  <c r="L227" i="1" a="1"/>
  <c r="M227" i="1" a="1"/>
  <c r="L122" i="1" a="1"/>
  <c r="M122" i="1" a="1"/>
  <c r="K227" i="1" l="1"/>
  <c r="J227" i="1"/>
  <c r="K122" i="1"/>
  <c r="J122" i="1"/>
  <c r="O122" i="1"/>
  <c r="N122" i="1"/>
  <c r="O227" i="1"/>
  <c r="N227" i="1"/>
  <c r="Q227" i="1"/>
  <c r="Q122" i="1"/>
  <c r="M227" i="1"/>
  <c r="L227" i="1"/>
  <c r="C228" i="1"/>
  <c r="B229" i="1" a="1"/>
  <c r="B229" i="1" s="1"/>
  <c r="M122" i="1"/>
  <c r="L122" i="1"/>
  <c r="C123" i="1"/>
  <c r="J123" i="1" a="1"/>
  <c r="K123" i="1" a="1"/>
  <c r="J228" i="1" a="1"/>
  <c r="K228" i="1" a="1"/>
  <c r="N228" i="1" a="1"/>
  <c r="O228" i="1" a="1"/>
  <c r="N123" i="1" a="1"/>
  <c r="O123" i="1" a="1"/>
  <c r="Q123" i="1" a="1"/>
  <c r="Q228" i="1" a="1"/>
  <c r="L228" i="1" a="1"/>
  <c r="M228" i="1" a="1"/>
  <c r="L123" i="1" a="1"/>
  <c r="M123" i="1" a="1"/>
  <c r="K228" i="1" l="1"/>
  <c r="J228" i="1"/>
  <c r="K123" i="1"/>
  <c r="J123" i="1"/>
  <c r="O123" i="1"/>
  <c r="N123" i="1"/>
  <c r="O228" i="1"/>
  <c r="N228" i="1"/>
  <c r="Q228" i="1"/>
  <c r="Q123" i="1"/>
  <c r="M228" i="1"/>
  <c r="L228" i="1"/>
  <c r="C229" i="1"/>
  <c r="M123" i="1"/>
  <c r="L123" i="1"/>
  <c r="C124" i="1"/>
  <c r="J229" i="1" a="1"/>
  <c r="K229" i="1" a="1"/>
  <c r="J124" i="1" a="1"/>
  <c r="K124" i="1" a="1"/>
  <c r="N229" i="1" a="1"/>
  <c r="O229" i="1" a="1"/>
  <c r="N124" i="1" a="1"/>
  <c r="O124" i="1" a="1"/>
  <c r="Q229" i="1" a="1"/>
  <c r="Q124" i="1" a="1"/>
  <c r="L229" i="1" a="1"/>
  <c r="M229" i="1" a="1"/>
  <c r="L124" i="1" a="1"/>
  <c r="M124" i="1" a="1"/>
  <c r="K124" i="1" l="1"/>
  <c r="J124" i="1"/>
  <c r="K229" i="1"/>
  <c r="J229" i="1"/>
  <c r="O124" i="1"/>
  <c r="N124" i="1"/>
  <c r="O229" i="1"/>
  <c r="N229" i="1"/>
  <c r="Q124" i="1"/>
  <c r="Q229" i="1"/>
  <c r="M229" i="1"/>
  <c r="L229" i="1"/>
  <c r="M124" i="1"/>
  <c r="L124" i="1"/>
  <c r="C125" i="1"/>
  <c r="J125" i="1" a="1"/>
  <c r="K125" i="1" a="1"/>
  <c r="N125" i="1" a="1"/>
  <c r="O125" i="1" a="1"/>
  <c r="Q125" i="1" a="1"/>
  <c r="L125" i="1" a="1"/>
  <c r="M125" i="1" a="1"/>
  <c r="K125" i="1" l="1"/>
  <c r="J125" i="1"/>
  <c r="O125" i="1"/>
  <c r="N125" i="1"/>
  <c r="Q125" i="1"/>
  <c r="M125" i="1"/>
  <c r="L125" i="1"/>
  <c r="C126" i="1"/>
  <c r="J126" i="1" a="1"/>
  <c r="K126" i="1" a="1"/>
  <c r="N126" i="1" a="1"/>
  <c r="O126" i="1" a="1"/>
  <c r="Q126" i="1" a="1"/>
  <c r="L126" i="1" a="1"/>
  <c r="M126" i="1" a="1"/>
  <c r="K126" i="1" l="1"/>
  <c r="J126" i="1"/>
  <c r="O126" i="1"/>
  <c r="N126" i="1"/>
  <c r="Q126" i="1"/>
  <c r="M126" i="1"/>
  <c r="L126" i="1"/>
  <c r="C127" i="1"/>
  <c r="J127" i="1" a="1"/>
  <c r="K127" i="1" a="1"/>
  <c r="N127" i="1" a="1"/>
  <c r="O127" i="1" a="1"/>
  <c r="Q127" i="1" a="1"/>
  <c r="L127" i="1" a="1"/>
  <c r="M127" i="1" a="1"/>
  <c r="K127" i="1" l="1"/>
  <c r="J127" i="1"/>
  <c r="O127" i="1"/>
  <c r="N127" i="1"/>
  <c r="Q127" i="1"/>
  <c r="M127" i="1"/>
  <c r="L127" i="1"/>
  <c r="C128" i="1"/>
  <c r="J128" i="1" a="1"/>
  <c r="K128" i="1" a="1"/>
  <c r="N128" i="1" a="1"/>
  <c r="O128" i="1" a="1"/>
  <c r="Q128" i="1" a="1"/>
  <c r="L128" i="1" a="1"/>
  <c r="M128" i="1" a="1"/>
  <c r="K128" i="1" l="1"/>
  <c r="J128" i="1"/>
  <c r="O128" i="1"/>
  <c r="N128" i="1"/>
  <c r="Q128" i="1"/>
  <c r="M128" i="1"/>
  <c r="L128" i="1"/>
  <c r="C129" i="1"/>
  <c r="J129" i="1" a="1"/>
  <c r="K129" i="1" a="1"/>
  <c r="N129" i="1" a="1"/>
  <c r="O129" i="1" a="1"/>
  <c r="Q129" i="1" a="1"/>
  <c r="L129" i="1" a="1"/>
  <c r="M129" i="1" a="1"/>
  <c r="K129" i="1" l="1"/>
  <c r="J129" i="1"/>
  <c r="O129" i="1"/>
  <c r="N129" i="1"/>
  <c r="Q129" i="1"/>
  <c r="M129" i="1"/>
  <c r="L129" i="1"/>
  <c r="C130" i="1"/>
  <c r="J130" i="1" a="1"/>
  <c r="K130" i="1" a="1"/>
  <c r="N130" i="1" a="1"/>
  <c r="O130" i="1" a="1"/>
  <c r="Q130" i="1" a="1"/>
  <c r="D30" i="1" a="1"/>
  <c r="L130" i="1" a="1"/>
  <c r="M130" i="1" a="1"/>
  <c r="K130" i="1" l="1"/>
  <c r="J130" i="1"/>
  <c r="O130" i="1"/>
  <c r="N130" i="1"/>
  <c r="Q130" i="1"/>
  <c r="M130" i="1"/>
  <c r="L130" i="1"/>
  <c r="D30" i="1"/>
  <c r="AA32" i="1" l="1"/>
  <c r="AF32" i="1" a="1"/>
  <c r="AE32" i="1" a="1"/>
  <c r="AE32" i="1" l="1"/>
  <c r="AF32" i="1"/>
  <c r="AA33" i="1"/>
  <c r="AF33" i="1" a="1"/>
  <c r="AE33" i="1" a="1"/>
  <c r="AE33" i="1" l="1"/>
  <c r="AF33" i="1"/>
  <c r="AA34" i="1"/>
  <c r="AF34" i="1" a="1"/>
  <c r="AE34" i="1" a="1"/>
  <c r="AE34" i="1" l="1"/>
  <c r="AF34" i="1"/>
  <c r="AA35" i="1"/>
  <c r="AF35" i="1" a="1"/>
  <c r="AE35" i="1" a="1"/>
  <c r="AE35" i="1" l="1"/>
  <c r="AF35" i="1"/>
  <c r="AA36" i="1"/>
  <c r="AF36" i="1" a="1"/>
  <c r="AE36" i="1" a="1"/>
  <c r="AE36" i="1" l="1"/>
  <c r="AF36" i="1"/>
  <c r="AA37" i="1"/>
  <c r="AF37" i="1" a="1"/>
  <c r="AE37" i="1" a="1"/>
  <c r="AE37" i="1" l="1"/>
  <c r="AF37" i="1"/>
  <c r="AA38" i="1"/>
  <c r="AF38" i="1" a="1"/>
  <c r="AE38" i="1" a="1"/>
  <c r="AE38" i="1" l="1"/>
  <c r="AF38" i="1"/>
  <c r="AA39" i="1"/>
  <c r="AF39" i="1" a="1"/>
  <c r="AE39" i="1" a="1"/>
  <c r="AE39" i="1" l="1"/>
  <c r="AF39" i="1"/>
  <c r="AA40" i="1"/>
  <c r="AF40" i="1" a="1"/>
  <c r="AE40" i="1" a="1"/>
  <c r="AE40" i="1" l="1"/>
  <c r="AF40" i="1"/>
  <c r="AA41" i="1"/>
  <c r="AF41" i="1" a="1"/>
  <c r="AE41" i="1" a="1"/>
  <c r="AE41" i="1" l="1"/>
  <c r="AF41" i="1"/>
  <c r="AA42" i="1"/>
  <c r="AF42" i="1" a="1"/>
  <c r="AE42" i="1" a="1"/>
  <c r="AE42" i="1" l="1"/>
  <c r="AF42" i="1"/>
  <c r="AA43" i="1"/>
  <c r="AF43" i="1" a="1"/>
  <c r="AE43" i="1" a="1"/>
  <c r="AE43" i="1" l="1"/>
  <c r="AF43" i="1"/>
  <c r="AA44" i="1"/>
  <c r="AF44" i="1" a="1"/>
  <c r="AE44" i="1" a="1"/>
  <c r="AE44" i="1" l="1"/>
  <c r="AF44" i="1"/>
  <c r="AA45" i="1"/>
  <c r="AF45" i="1" a="1"/>
  <c r="AE45" i="1" a="1"/>
  <c r="AE45" i="1" l="1"/>
  <c r="AF45" i="1"/>
  <c r="AA46" i="1"/>
  <c r="AF46" i="1" a="1"/>
  <c r="AE46" i="1" a="1"/>
  <c r="AE46" i="1" l="1"/>
  <c r="AF46" i="1"/>
  <c r="AA47" i="1"/>
  <c r="AF47" i="1" a="1"/>
  <c r="AE47" i="1" a="1"/>
  <c r="AE47" i="1" l="1"/>
  <c r="AF47" i="1"/>
  <c r="AA48" i="1"/>
  <c r="AF48" i="1" a="1"/>
  <c r="AE48" i="1" a="1"/>
  <c r="AE48" i="1" l="1"/>
  <c r="AF48" i="1"/>
  <c r="AA49" i="1"/>
  <c r="AF49" i="1" a="1"/>
  <c r="AE49" i="1" a="1"/>
  <c r="AE49" i="1" l="1"/>
  <c r="AF49" i="1"/>
  <c r="AA50" i="1"/>
  <c r="AF50" i="1" a="1"/>
  <c r="AE50" i="1" a="1"/>
  <c r="AE50" i="1" l="1"/>
  <c r="AF50" i="1"/>
  <c r="AA51" i="1"/>
  <c r="AF51" i="1" a="1"/>
  <c r="AE51" i="1" a="1"/>
  <c r="AE51" i="1" l="1"/>
  <c r="AF51" i="1"/>
  <c r="AA52" i="1"/>
  <c r="AF52" i="1" a="1"/>
  <c r="AE52" i="1" a="1"/>
  <c r="AE52" i="1" l="1"/>
  <c r="AF52" i="1"/>
  <c r="AA53" i="1"/>
  <c r="AF53" i="1" a="1"/>
  <c r="AE53" i="1" a="1"/>
  <c r="AE53" i="1" l="1"/>
  <c r="AF53" i="1"/>
  <c r="AA54" i="1"/>
  <c r="AF54" i="1" a="1"/>
  <c r="AE54" i="1" a="1"/>
  <c r="AE54" i="1" l="1"/>
  <c r="AF54" i="1"/>
  <c r="AA55" i="1"/>
  <c r="AF55" i="1" a="1"/>
  <c r="AE55" i="1" a="1"/>
  <c r="AE55" i="1" l="1"/>
  <c r="AF55" i="1"/>
  <c r="AA56" i="1"/>
  <c r="AF56" i="1" a="1"/>
  <c r="AE56" i="1" a="1"/>
  <c r="AE56" i="1" l="1"/>
  <c r="AF56" i="1"/>
  <c r="AA57" i="1"/>
  <c r="AF57" i="1" a="1"/>
  <c r="AE57" i="1" a="1"/>
  <c r="AE57" i="1" l="1"/>
  <c r="AF57" i="1"/>
  <c r="AA58" i="1"/>
  <c r="AF58" i="1" a="1"/>
  <c r="AE58" i="1" a="1"/>
  <c r="AE58" i="1" l="1"/>
  <c r="AF58" i="1"/>
  <c r="AA59" i="1"/>
  <c r="AF59" i="1" a="1"/>
  <c r="AE59" i="1" a="1"/>
  <c r="AE59" i="1" l="1"/>
  <c r="AF59" i="1"/>
  <c r="AA60" i="1"/>
  <c r="AF60" i="1" a="1"/>
  <c r="AE60" i="1" a="1"/>
  <c r="AE60" i="1" l="1"/>
  <c r="AF60" i="1"/>
  <c r="AA61" i="1"/>
  <c r="AF61" i="1" a="1"/>
  <c r="AE61" i="1" a="1"/>
  <c r="AE61" i="1" l="1"/>
  <c r="AF61" i="1"/>
  <c r="N3" i="1"/>
  <c r="AA62" i="1"/>
  <c r="J6" i="1" a="1"/>
  <c r="J9" i="1" a="1"/>
  <c r="I3" i="1" a="1"/>
  <c r="AF62" i="1" a="1"/>
  <c r="AE62" i="1" a="1"/>
  <c r="I3" i="1" l="1"/>
  <c r="J9" i="1"/>
  <c r="J6" i="1"/>
  <c r="AE62" i="1"/>
  <c r="AF62" i="1"/>
  <c r="AA63" i="1"/>
  <c r="AF63" i="1" a="1"/>
  <c r="AE63" i="1" a="1"/>
  <c r="H96" i="1" l="1"/>
  <c r="H130" i="1"/>
  <c r="H100" i="1"/>
  <c r="H68" i="1"/>
  <c r="H144" i="1"/>
  <c r="H58" i="1"/>
  <c r="H213" i="1"/>
  <c r="H110" i="1"/>
  <c r="H78" i="1"/>
  <c r="H57" i="1"/>
  <c r="H46" i="1"/>
  <c r="H143" i="1"/>
  <c r="H70" i="1"/>
  <c r="H150" i="1"/>
  <c r="H86" i="1"/>
  <c r="H136" i="1"/>
  <c r="H181" i="1"/>
  <c r="H99" i="1"/>
  <c r="H120" i="1"/>
  <c r="H154" i="1"/>
  <c r="H124" i="1"/>
  <c r="H98" i="1"/>
  <c r="H106" i="1"/>
  <c r="H198" i="1"/>
  <c r="H152" i="1"/>
  <c r="H196" i="1"/>
  <c r="H149" i="1"/>
  <c r="H133" i="1"/>
  <c r="H73" i="1"/>
  <c r="H129" i="1"/>
  <c r="H160" i="1"/>
  <c r="H194" i="1"/>
  <c r="H164" i="1"/>
  <c r="H125" i="1"/>
  <c r="H201" i="1"/>
  <c r="H35" i="1"/>
  <c r="H40" i="1"/>
  <c r="H74" i="1"/>
  <c r="H44" i="1"/>
  <c r="H109" i="1"/>
  <c r="H173" i="1"/>
  <c r="H209" i="1"/>
  <c r="H48" i="1"/>
  <c r="H82" i="1"/>
  <c r="H180" i="1"/>
  <c r="H42" i="1"/>
  <c r="H174" i="1"/>
  <c r="H92" i="1"/>
  <c r="H184" i="1"/>
  <c r="H218" i="1"/>
  <c r="H188" i="1"/>
  <c r="H226" i="1"/>
  <c r="H147" i="1"/>
  <c r="H126" i="1"/>
  <c r="H227" i="1"/>
  <c r="H199" i="1"/>
  <c r="H139" i="1"/>
  <c r="H84" i="1"/>
  <c r="H90" i="1"/>
  <c r="H91" i="1"/>
  <c r="H30" i="1"/>
  <c r="H224" i="1"/>
  <c r="H43" i="1"/>
  <c r="H228" i="1"/>
  <c r="H200" i="1"/>
  <c r="H178" i="1"/>
  <c r="H214" i="1"/>
  <c r="H104" i="1"/>
  <c r="H138" i="1"/>
  <c r="H108" i="1"/>
  <c r="H162" i="1"/>
  <c r="H204" i="1"/>
  <c r="H163" i="1"/>
  <c r="H112" i="1"/>
  <c r="H146" i="1"/>
  <c r="H101" i="1"/>
  <c r="H170" i="1"/>
  <c r="H219" i="1"/>
  <c r="H47" i="1"/>
  <c r="H49" i="1"/>
  <c r="H67" i="1"/>
  <c r="H205" i="1"/>
  <c r="H141" i="1"/>
  <c r="H158" i="1"/>
  <c r="H165" i="1"/>
  <c r="H55" i="1"/>
  <c r="H145" i="1"/>
  <c r="H183" i="1"/>
  <c r="H127" i="1"/>
  <c r="H121" i="1"/>
  <c r="H87" i="1"/>
  <c r="H89" i="1"/>
  <c r="H107" i="1"/>
  <c r="H116" i="1"/>
  <c r="H193" i="1"/>
  <c r="H197" i="1"/>
  <c r="H156" i="1"/>
  <c r="H168" i="1"/>
  <c r="H202" i="1"/>
  <c r="H172" i="1"/>
  <c r="H203" i="1"/>
  <c r="H135" i="1"/>
  <c r="H182" i="1"/>
  <c r="H176" i="1"/>
  <c r="H210" i="1"/>
  <c r="H185" i="1"/>
  <c r="H211" i="1"/>
  <c r="H148" i="1"/>
  <c r="H111" i="1"/>
  <c r="H113" i="1"/>
  <c r="H131" i="1"/>
  <c r="H216" i="1"/>
  <c r="H223" i="1"/>
  <c r="H151" i="1"/>
  <c r="H153" i="1"/>
  <c r="H171" i="1"/>
  <c r="H119" i="1"/>
  <c r="H83" i="1"/>
  <c r="H212" i="1"/>
  <c r="H31" i="1"/>
  <c r="H33" i="1"/>
  <c r="H51" i="1"/>
  <c r="H61" i="1"/>
  <c r="H132" i="1"/>
  <c r="H208" i="1"/>
  <c r="H39" i="1"/>
  <c r="H41" i="1"/>
  <c r="H59" i="1"/>
  <c r="H75" i="1"/>
  <c r="H140" i="1"/>
  <c r="H79" i="1"/>
  <c r="H175" i="1"/>
  <c r="H177" i="1"/>
  <c r="H195" i="1"/>
  <c r="H134" i="1"/>
  <c r="H191" i="1"/>
  <c r="H80" i="1"/>
  <c r="H229" i="1"/>
  <c r="H128" i="1"/>
  <c r="H36" i="1"/>
  <c r="H93" i="1"/>
  <c r="H60" i="1"/>
  <c r="H215" i="1"/>
  <c r="H217" i="1"/>
  <c r="H37" i="1"/>
  <c r="H192" i="1"/>
  <c r="H76" i="1"/>
  <c r="H207" i="1"/>
  <c r="H95" i="1"/>
  <c r="H97" i="1"/>
  <c r="H115" i="1"/>
  <c r="H52" i="1"/>
  <c r="H63" i="1"/>
  <c r="H114" i="1"/>
  <c r="H103" i="1"/>
  <c r="H105" i="1"/>
  <c r="H123" i="1"/>
  <c r="H142" i="1"/>
  <c r="H71" i="1"/>
  <c r="H222" i="1"/>
  <c r="H69" i="1"/>
  <c r="H85" i="1"/>
  <c r="H117" i="1"/>
  <c r="H64" i="1"/>
  <c r="H166" i="1"/>
  <c r="H137" i="1"/>
  <c r="H186" i="1"/>
  <c r="H50" i="1"/>
  <c r="H32" i="1"/>
  <c r="H77" i="1"/>
  <c r="H53" i="1"/>
  <c r="H56" i="1"/>
  <c r="H189" i="1"/>
  <c r="H62" i="1"/>
  <c r="H38" i="1"/>
  <c r="H34" i="1"/>
  <c r="H94" i="1"/>
  <c r="H88" i="1"/>
  <c r="H159" i="1"/>
  <c r="H161" i="1"/>
  <c r="H179" i="1"/>
  <c r="H157" i="1"/>
  <c r="H72" i="1"/>
  <c r="H155" i="1"/>
  <c r="H167" i="1"/>
  <c r="H169" i="1"/>
  <c r="H187" i="1"/>
  <c r="H54" i="1"/>
  <c r="H190" i="1"/>
  <c r="H81" i="1"/>
  <c r="H102" i="1"/>
  <c r="H206" i="1"/>
  <c r="H118" i="1"/>
  <c r="H65" i="1"/>
  <c r="H221" i="1"/>
  <c r="H66" i="1"/>
  <c r="H225" i="1"/>
  <c r="H45" i="1"/>
  <c r="H122" i="1"/>
  <c r="H220" i="1"/>
  <c r="AE63" i="1"/>
  <c r="AF6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<sst xmlns="http://schemas.openxmlformats.org/spreadsheetml/2006/main" count="47" uniqueCount="41">
  <si>
    <t>qi</t>
  </si>
  <si>
    <t>Di</t>
  </si>
  <si>
    <t>bi</t>
  </si>
  <si>
    <t>bf</t>
  </si>
  <si>
    <t>telf</t>
  </si>
  <si>
    <t>bterm</t>
  </si>
  <si>
    <t>tterm</t>
  </si>
  <si>
    <t>Time</t>
  </si>
  <si>
    <t>q</t>
  </si>
  <si>
    <t>D</t>
  </si>
  <si>
    <t>b</t>
  </si>
  <si>
    <t>N</t>
  </si>
  <si>
    <t>i</t>
  </si>
  <si>
    <t>D_eff</t>
  </si>
  <si>
    <t>EUR_t</t>
  </si>
  <si>
    <t>EUR_qf</t>
  </si>
  <si>
    <t>Well Rates</t>
  </si>
  <si>
    <t>DaysOn</t>
  </si>
  <si>
    <t>Well Cum.</t>
  </si>
  <si>
    <t>Well Time</t>
  </si>
  <si>
    <t>Downtime</t>
  </si>
  <si>
    <t>Scalar</t>
  </si>
  <si>
    <t>Variate</t>
  </si>
  <si>
    <t>Downtime Correlation</t>
  </si>
  <si>
    <t>Chance Downtime</t>
  </si>
  <si>
    <t>Well Volume</t>
  </si>
  <si>
    <t>"Noisiness"</t>
  </si>
  <si>
    <t>Buildup</t>
  </si>
  <si>
    <t>q_ModHyp</t>
  </si>
  <si>
    <t>Match Day</t>
  </si>
  <si>
    <t>Range Low (mu, sigma)</t>
  </si>
  <si>
    <t>THM</t>
  </si>
  <si>
    <t>MH</t>
  </si>
  <si>
    <t>N_Norm</t>
  </si>
  <si>
    <t>Q</t>
  </si>
  <si>
    <t>q_limit</t>
  </si>
  <si>
    <t>EUR @ qf</t>
  </si>
  <si>
    <t>EUR @ t</t>
  </si>
  <si>
    <t>Time limit</t>
  </si>
  <si>
    <t>Cum</t>
  </si>
  <si>
    <t>Cum_qf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</si>
</sst>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9" fontId="0" fillId="0" borderId="0" xfId="0" applyNumberFormat="1"/>
    <xf numFmtId="4" fontId="0" fillId="0" borderId="0" xfId="0" applyNumberFormat="1"/>
    <xf numFmtId="10" fontId="0" fillId="0" borderId="0" xfId="0" applyNumberFormat="1"/>
    <xf numFmtId="0" fontId="0" fillId="0" borderId="0" xfId="0" quotePrefix="1"/>
    <xf numFmtId="0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Simulated Data &amp; THM Forecast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Tests!$D$29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Tests!$C$30:$C$229</c:f>
              <c:numCache>
                <c:formatCode>General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Tests!$D$30:$D$229</c:f>
              <c:numCache>
                <c:formatCode>General</c:formatCode>
                <c:ptCount val="200"/>
                <c:pt idx="0">
                  <c:v>1133.6280409086728</c:v>
                </c:pt>
                <c:pt idx="1">
                  <c:v>1132.8503056284396</c:v>
                </c:pt>
                <c:pt idx="2">
                  <c:v>1132.0282299242951</c:v>
                </c:pt>
                <c:pt idx="3">
                  <c:v>1131.1593920802823</c:v>
                </c:pt>
                <c:pt idx="4">
                  <c:v>1130.2412506808921</c:v>
                </c:pt>
                <c:pt idx="5">
                  <c:v>1129.2711401892341</c:v>
                </c:pt>
                <c:pt idx="6">
                  <c:v>1128.2462665479377</c:v>
                </c:pt>
                <c:pt idx="7">
                  <c:v>1127.1637028317891</c:v>
                </c:pt>
                <c:pt idx="8">
                  <c:v>1126.0203849850247</c:v>
                </c:pt>
                <c:pt idx="9">
                  <c:v>1124.8131076804316</c:v>
                </c:pt>
                <c:pt idx="10">
                  <c:v>1123.5385203419607</c:v>
                </c:pt>
                <c:pt idx="11">
                  <c:v>1122.1931233774342</c:v>
                </c:pt>
                <c:pt idx="12">
                  <c:v>1120.7732646730924</c:v>
                </c:pt>
                <c:pt idx="13">
                  <c:v>1119.2751364072233</c:v>
                </c:pt>
                <c:pt idx="14">
                  <c:v>1117.6947722458378</c:v>
                </c:pt>
                <c:pt idx="15">
                  <c:v>1116.0280449893601</c:v>
                </c:pt>
                <c:pt idx="16">
                  <c:v>1114.2706647454586</c:v>
                </c:pt>
                <c:pt idx="17">
                  <c:v>1112.4181777094714</c:v>
                </c:pt>
                <c:pt idx="18">
                  <c:v>1110.4659656402314</c:v>
                </c:pt>
                <c:pt idx="19">
                  <c:v>1108.40924612546</c:v>
                </c:pt>
                <c:pt idx="20">
                  <c:v>1106.243073737081</c:v>
                </c:pt>
                <c:pt idx="21">
                  <c:v>1103.9623421827582</c:v>
                </c:pt>
                <c:pt idx="22">
                  <c:v>1101.5617875654696</c:v>
                </c:pt>
                <c:pt idx="23">
                  <c:v>1099.0359928678647</c:v>
                </c:pt>
                <c:pt idx="24">
                  <c:v>1096.3793937822732</c:v>
                </c:pt>
                <c:pt idx="25">
                  <c:v>1093.5862860103784</c:v>
                </c:pt>
                <c:pt idx="26">
                  <c:v>1090.6508341584104</c:v>
                </c:pt>
                <c:pt idx="27">
                  <c:v>1087.5670823540684</c:v>
                </c:pt>
                <c:pt idx="28">
                  <c:v>1084.328966709897</c:v>
                </c:pt>
                <c:pt idx="29">
                  <c:v>1080.9303297542449</c:v>
                </c:pt>
                <c:pt idx="30">
                  <c:v>1077.3649369448922</c:v>
                </c:pt>
                <c:pt idx="31">
                  <c:v>1073.6264953716445</c:v>
                </c:pt>
                <c:pt idx="32">
                  <c:v>1069.7086747423102</c:v>
                </c:pt>
                <c:pt idx="33">
                  <c:v>1065.6051307312212</c:v>
                </c:pt>
                <c:pt idx="34">
                  <c:v>1061.3095307505414</c:v>
                </c:pt>
                <c:pt idx="35">
                  <c:v>1056.8155821817941</c:v>
                </c:pt>
                <c:pt idx="36">
                  <c:v>1052.1170630781398</c:v>
                </c:pt>
                <c:pt idx="37">
                  <c:v>1047.2078553168785</c:v>
                </c:pt>
                <c:pt idx="38">
                  <c:v>1042.0819801463585</c:v>
                </c:pt>
                <c:pt idx="39">
                  <c:v>1036.7336360321333</c:v>
                </c:pt>
                <c:pt idx="40">
                  <c:v>1031.1572386639723</c:v>
                </c:pt>
                <c:pt idx="41">
                  <c:v>1025.3474629386237</c:v>
                </c:pt>
                <c:pt idx="42">
                  <c:v>1019.2992866836016</c:v>
                </c:pt>
                <c:pt idx="43">
                  <c:v>1013.0080358354099</c:v>
                </c:pt>
                <c:pt idx="44">
                  <c:v>1006.4694307324761</c:v>
                </c:pt>
                <c:pt idx="45">
                  <c:v>999.67963312969709</c:v>
                </c:pt>
                <c:pt idx="46">
                  <c:v>992.63529348919451</c:v>
                </c:pt>
                <c:pt idx="47">
                  <c:v>985.33359805204805</c:v>
                </c:pt>
                <c:pt idx="48">
                  <c:v>977.77231514998095</c:v>
                </c:pt>
                <c:pt idx="49">
                  <c:v>969.94984017587251</c:v>
                </c:pt>
                <c:pt idx="50">
                  <c:v>961.86523859925614</c:v>
                </c:pt>
                <c:pt idx="51">
                  <c:v>953.51828638933478</c:v>
                </c:pt>
                <c:pt idx="52">
                  <c:v>944.90950719509772</c:v>
                </c:pt>
                <c:pt idx="53">
                  <c:v>936.04020563133429</c:v>
                </c:pt>
                <c:pt idx="54">
                  <c:v>926.9124960319416</c:v>
                </c:pt>
                <c:pt idx="55">
                  <c:v>917.52932605883666</c:v>
                </c:pt>
                <c:pt idx="56">
                  <c:v>907.89449459658999</c:v>
                </c:pt>
                <c:pt idx="57">
                  <c:v>898.01266341970029</c:v>
                </c:pt>
                <c:pt idx="58">
                  <c:v>887.88936219088339</c:v>
                </c:pt>
                <c:pt idx="59">
                  <c:v>877.53098643396913</c:v>
                </c:pt>
                <c:pt idx="60">
                  <c:v>866.9447882225918</c:v>
                </c:pt>
                <c:pt idx="61">
                  <c:v>856.13885943391801</c:v>
                </c:pt>
                <c:pt idx="62">
                  <c:v>845.12210753279726</c:v>
                </c:pt>
                <c:pt idx="63">
                  <c:v>833.90376978220695</c:v>
                </c:pt>
                <c:pt idx="64">
                  <c:v>822.45955102972903</c:v>
                </c:pt>
                <c:pt idx="65">
                  <c:v>810.7777124670738</c:v>
                </c:pt>
                <c:pt idx="66">
                  <c:v>798.86866919074157</c:v>
                </c:pt>
                <c:pt idx="67">
                  <c:v>786.74378730870092</c:v>
                </c:pt>
                <c:pt idx="68">
                  <c:v>774.41534129202273</c:v>
                </c:pt>
                <c:pt idx="69">
                  <c:v>761.89646237480554</c:v>
                </c:pt>
                <c:pt idx="70">
                  <c:v>749.2010784362227</c:v>
                </c:pt>
                <c:pt idx="71">
                  <c:v>736.34384595337281</c:v>
                </c:pt>
                <c:pt idx="72">
                  <c:v>723.3400747590656</c:v>
                </c:pt>
                <c:pt idx="73">
                  <c:v>710.20564647046535</c:v>
                </c:pt>
                <c:pt idx="74">
                  <c:v>696.95692756879862</c:v>
                </c:pt>
                <c:pt idx="75">
                  <c:v>683.61067820374194</c:v>
                </c:pt>
                <c:pt idx="76">
                  <c:v>670.18395786603924</c:v>
                </c:pt>
                <c:pt idx="77">
                  <c:v>656.64966404153211</c:v>
                </c:pt>
                <c:pt idx="78">
                  <c:v>642.90383341138363</c:v>
                </c:pt>
                <c:pt idx="79">
                  <c:v>628.95754653654114</c:v>
                </c:pt>
                <c:pt idx="80">
                  <c:v>614.82997192693585</c:v>
                </c:pt>
                <c:pt idx="81">
                  <c:v>600.5413870200033</c:v>
                </c:pt>
                <c:pt idx="82">
                  <c:v>586.11307261616366</c:v>
                </c:pt>
                <c:pt idx="83">
                  <c:v>571.56719434704564</c:v>
                </c:pt>
                <c:pt idx="84">
                  <c:v>556.92667244939116</c:v>
                </c:pt>
                <c:pt idx="85">
                  <c:v>542.21504137764748</c:v>
                </c:pt>
                <c:pt idx="86">
                  <c:v>527.45630101981783</c:v>
                </c:pt>
                <c:pt idx="87">
                  <c:v>512.67476147625871</c:v>
                </c:pt>
                <c:pt idx="88">
                  <c:v>497.89488351292749</c:v>
                </c:pt>
                <c:pt idx="89">
                  <c:v>483.14111690366536</c:v>
                </c:pt>
                <c:pt idx="90">
                  <c:v>468.43773892671277</c:v>
                </c:pt>
                <c:pt idx="91">
                  <c:v>453.80869527695023</c:v>
                </c:pt>
                <c:pt idx="92">
                  <c:v>439.27744559747111</c:v>
                </c:pt>
                <c:pt idx="93">
                  <c:v>424.86681572413727</c:v>
                </c:pt>
                <c:pt idx="94">
                  <c:v>410.59885857872308</c:v>
                </c:pt>
                <c:pt idx="95">
                  <c:v>396.49472544575752</c:v>
                </c:pt>
                <c:pt idx="96">
                  <c:v>382.57454913225638</c:v>
                </c:pt>
                <c:pt idx="97">
                  <c:v>368.8573402462539</c:v>
                </c:pt>
                <c:pt idx="98">
                  <c:v>355.36089754810786</c:v>
                </c:pt>
                <c:pt idx="99">
                  <c:v>342.10173303693102</c:v>
                </c:pt>
                <c:pt idx="100">
                  <c:v>329.09501214202567</c:v>
                </c:pt>
                <c:pt idx="101">
                  <c:v>316.35450910419917</c:v>
                </c:pt>
                <c:pt idx="102">
                  <c:v>303.89257736185482</c:v>
                </c:pt>
                <c:pt idx="103">
                  <c:v>291.72013450825654</c:v>
                </c:pt>
                <c:pt idx="104">
                  <c:v>279.84666116461881</c:v>
                </c:pt>
                <c:pt idx="105">
                  <c:v>268.28021292259268</c:v>
                </c:pt>
                <c:pt idx="106">
                  <c:v>257.02744435187179</c:v>
                </c:pt>
                <c:pt idx="107">
                  <c:v>246.0936439452633</c:v>
                </c:pt>
                <c:pt idx="108">
                  <c:v>235.48277878467368</c:v>
                </c:pt>
                <c:pt idx="109">
                  <c:v>225.19754765595036</c:v>
                </c:pt>
                <c:pt idx="110">
                  <c:v>215.23944131639055</c:v>
                </c:pt>
                <c:pt idx="111">
                  <c:v>205.60880862322085</c:v>
                </c:pt>
                <c:pt idx="112">
                  <c:v>196.30492726117004</c:v>
                </c:pt>
                <c:pt idx="113">
                  <c:v>187.32607785875061</c:v>
                </c:pt>
                <c:pt idx="114">
                  <c:v>178.66962035220413</c:v>
                </c:pt>
                <c:pt idx="115">
                  <c:v>170.33207153941143</c:v>
                </c:pt>
                <c:pt idx="116">
                  <c:v>162.30918285969119</c:v>
                </c:pt>
                <c:pt idx="117">
                  <c:v>154.59601753581458</c:v>
                </c:pt>
                <c:pt idx="118">
                  <c:v>147.18702631856132</c:v>
                </c:pt>
                <c:pt idx="119">
                  <c:v>140.07612117890898</c:v>
                </c:pt>
                <c:pt idx="120">
                  <c:v>133.25674639606643</c:v>
                </c:pt>
                <c:pt idx="121">
                  <c:v>126.72194658901482</c:v>
                </c:pt>
                <c:pt idx="122">
                  <c:v>120.46443133341067</c:v>
                </c:pt>
                <c:pt idx="123">
                  <c:v>114.47663609341285</c:v>
                </c:pt>
                <c:pt idx="124">
                  <c:v>108.75077927835952</c:v>
                </c:pt>
                <c:pt idx="125">
                  <c:v>103.27891530671189</c:v>
                </c:pt>
                <c:pt idx="126">
                  <c:v>98.052983624032095</c:v>
                </c:pt>
                <c:pt idx="127">
                  <c:v>93.064853677962887</c:v>
                </c:pt>
                <c:pt idx="128">
                  <c:v>88.306365901398124</c:v>
                </c:pt>
                <c:pt idx="129">
                  <c:v>83.769368795608131</c:v>
                </c:pt>
                <c:pt idx="130">
                  <c:v>79.445752238461864</c:v>
                </c:pt>
                <c:pt idx="131">
                  <c:v>75.327477169601451</c:v>
                </c:pt>
                <c:pt idx="132">
                  <c:v>71.406601825058218</c:v>
                </c:pt>
                <c:pt idx="133">
                  <c:v>67.675304708969463</c:v>
                </c:pt>
                <c:pt idx="134">
                  <c:v>64.125904500383044</c:v>
                </c:pt>
                <c:pt idx="135">
                  <c:v>60.750877099236277</c:v>
                </c:pt>
                <c:pt idx="136">
                  <c:v>57.542870018054145</c:v>
                </c:pt>
                <c:pt idx="137">
                  <c:v>54.494714325291341</c:v>
                </c:pt>
                <c:pt idx="138">
                  <c:v>51.599434343056544</c:v>
                </c:pt>
                <c:pt idx="139">
                  <c:v>48.850255296683883</c:v>
                </c:pt>
                <c:pt idx="140">
                  <c:v>46.240609106682363</c:v>
                </c:pt>
                <c:pt idx="141">
                  <c:v>43.76413850538097</c:v>
                </c:pt>
                <c:pt idx="142">
                  <c:v>41.4037737603512</c:v>
                </c:pt>
                <c:pt idx="143">
                  <c:v>39.091623984334248</c:v>
                </c:pt>
                <c:pt idx="144">
                  <c:v>36.822198884883591</c:v>
                </c:pt>
                <c:pt idx="145">
                  <c:v>34.60155753118412</c:v>
                </c:pt>
                <c:pt idx="146">
                  <c:v>32.435473181354141</c:v>
                </c:pt>
                <c:pt idx="147">
                  <c:v>30.329369279238637</c:v>
                </c:pt>
                <c:pt idx="148">
                  <c:v>28.288259368204749</c:v>
                </c:pt>
                <c:pt idx="149">
                  <c:v>26.316692297480738</c:v>
                </c:pt>
                <c:pt idx="150">
                  <c:v>24.418704004840048</c:v>
                </c:pt>
                <c:pt idx="151">
                  <c:v>22.597777019671231</c:v>
                </c:pt>
                <c:pt idx="152">
                  <c:v>20.856808646162406</c:v>
                </c:pt>
                <c:pt idx="153">
                  <c:v>19.198088563370881</c:v>
                </c:pt>
                <c:pt idx="154">
                  <c:v>17.62328632547225</c:v>
                </c:pt>
                <c:pt idx="155">
                  <c:v>16.133448971465558</c:v>
                </c:pt>
                <c:pt idx="156">
                  <c:v>14.729008670351069</c:v>
                </c:pt>
                <c:pt idx="157">
                  <c:v>13.409800047280742</c:v>
                </c:pt>
                <c:pt idx="158">
                  <c:v>12.175086570377209</c:v>
                </c:pt>
                <c:pt idx="159">
                  <c:v>11.023595138057592</c:v>
                </c:pt>
                <c:pt idx="160">
                  <c:v>9.9535578026102804</c:v>
                </c:pt>
                <c:pt idx="161">
                  <c:v>8.9627594052984474</c:v>
                </c:pt>
                <c:pt idx="162">
                  <c:v>8.0485897868318848</c:v>
                </c:pt>
                <c:pt idx="163">
                  <c:v>7.208099177417127</c:v>
                </c:pt>
                <c:pt idx="164">
                  <c:v>6.4380553627871198</c:v>
                </c:pt>
                <c:pt idx="165">
                  <c:v>5.7350012640392354</c:v>
                </c:pt>
                <c:pt idx="166">
                  <c:v>5.0953116548744486</c:v>
                </c:pt>
                <c:pt idx="167">
                  <c:v>4.5152478631543991</c:v>
                </c:pt>
                <c:pt idx="168">
                  <c:v>3.9910094564563066</c:v>
                </c:pt>
                <c:pt idx="169">
                  <c:v>3.5187820846223197</c:v>
                </c:pt>
                <c:pt idx="170">
                  <c:v>3.0947808371006538</c:v>
                </c:pt>
                <c:pt idx="171">
                  <c:v>2.7152886604417827</c:v>
                </c:pt>
                <c:pt idx="172">
                  <c:v>2.3766895637328167</c:v>
                </c:pt>
                <c:pt idx="173">
                  <c:v>2.0754965102741361</c:v>
                </c:pt>
                <c:pt idx="174">
                  <c:v>1.8083740470636158</c:v>
                </c:pt>
                <c:pt idx="175">
                  <c:v>1.5721558558009516</c:v>
                </c:pt>
                <c:pt idx="176">
                  <c:v>1.3638575178126919</c:v>
                </c:pt>
                <c:pt idx="177">
                  <c:v>1.1806848696006866</c:v>
                </c:pt>
                <c:pt idx="178">
                  <c:v>1.0200383859583204</c:v>
                </c:pt>
                <c:pt idx="179">
                  <c:v>0.87951406514322861</c:v>
                </c:pt>
                <c:pt idx="180">
                  <c:v>0.75690130760059238</c:v>
                </c:pt>
                <c:pt idx="181">
                  <c:v>0.65017827890426827</c:v>
                </c:pt>
                <c:pt idx="182">
                  <c:v>0.55750523194364576</c:v>
                </c:pt>
                <c:pt idx="183">
                  <c:v>0.47721623605575708</c:v>
                </c:pt>
                <c:pt idx="184">
                  <c:v>0.40780972483685324</c:v>
                </c:pt>
                <c:pt idx="185">
                  <c:v>0.34793823260987444</c:v>
                </c:pt>
                <c:pt idx="186">
                  <c:v>0.29639764451357414</c:v>
                </c:pt>
                <c:pt idx="187">
                  <c:v>0.25211623909049014</c:v>
                </c:pt>
                <c:pt idx="188">
                  <c:v>0.2141437568675329</c:v>
                </c:pt>
                <c:pt idx="189">
                  <c:v>0.18164068513531056</c:v>
                </c:pt>
                <c:pt idx="190">
                  <c:v>0.15386790895949209</c:v>
                </c:pt>
                <c:pt idx="191">
                  <c:v>0.13017684208202251</c:v>
                </c:pt>
                <c:pt idx="192">
                  <c:v>0.11000011918241975</c:v>
                </c:pt>
                <c:pt idx="193">
                  <c:v>9.284290311713593E-2</c:v>
                </c:pt>
                <c:pt idx="194">
                  <c:v>7.8274837191730159E-2</c:v>
                </c:pt>
                <c:pt idx="195">
                  <c:v>6.5922653053321054E-2</c:v>
                </c:pt>
                <c:pt idx="196">
                  <c:v>5.546342912229299E-2</c:v>
                </c:pt>
                <c:pt idx="197">
                  <c:v>4.6618482248347484E-2</c:v>
                </c:pt>
                <c:pt idx="198">
                  <c:v>3.9147866076493711E-2</c:v>
                </c:pt>
                <c:pt idx="199">
                  <c:v>3.2845443032001445E-2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22-421E-8EAC-91D12DC61249}"/>
            </c:ext>
          </c:extLst>
        </c:ser>
        <c:ser>
          <c:idx val="2"/>
          <c:order val="1"/>
          <c:tx>
            <c:strRef>
              <c:f>Tests!$AB$29</c:f>
              <c:strCache>
                <c:ptCount val="1"/>
                <c:pt idx="0">
                  <c:v>Well Rates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Tests!$U$30:$U$130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Tests!$AB$30:$AB$63</c:f>
              <c:numCache>
                <c:formatCode>#,##0.00</c:formatCode>
                <c:ptCount val="34"/>
                <c:pt idx="0">
                  <c:v>307.89710163790267</c:v>
                </c:pt>
                <c:pt idx="1">
                  <c:v>636.00981789572222</c:v>
                </c:pt>
                <c:pt idx="2">
                  <c:v>890.83270965237602</c:v>
                </c:pt>
                <c:pt idx="3">
                  <c:v>935.36824109230668</c:v>
                </c:pt>
                <c:pt idx="4">
                  <c:v>843.05822069903945</c:v>
                </c:pt>
                <c:pt idx="5">
                  <c:v>7.5502281936806961</c:v>
                </c:pt>
                <c:pt idx="6">
                  <c:v>381.81016092702208</c:v>
                </c:pt>
                <c:pt idx="7">
                  <c:v>490.64088780217349</c:v>
                </c:pt>
                <c:pt idx="8">
                  <c:v>2.0342958404499583</c:v>
                </c:pt>
                <c:pt idx="9">
                  <c:v>360.88177466283867</c:v>
                </c:pt>
                <c:pt idx="10">
                  <c:v>322.80862950841868</c:v>
                </c:pt>
                <c:pt idx="11">
                  <c:v>366.52128313679827</c:v>
                </c:pt>
                <c:pt idx="12">
                  <c:v>374.57598166645056</c:v>
                </c:pt>
                <c:pt idx="13">
                  <c:v>333.65598092757557</c:v>
                </c:pt>
                <c:pt idx="14">
                  <c:v>287.31250661718855</c:v>
                </c:pt>
                <c:pt idx="15">
                  <c:v>366.37742066459003</c:v>
                </c:pt>
                <c:pt idx="16">
                  <c:v>305.48871344689485</c:v>
                </c:pt>
                <c:pt idx="17">
                  <c:v>194.57208518853096</c:v>
                </c:pt>
                <c:pt idx="18">
                  <c:v>255.82797091059902</c:v>
                </c:pt>
                <c:pt idx="19">
                  <c:v>179.27225577503702</c:v>
                </c:pt>
                <c:pt idx="20">
                  <c:v>234.61582893793317</c:v>
                </c:pt>
                <c:pt idx="21">
                  <c:v>120.97498289115498</c:v>
                </c:pt>
                <c:pt idx="22">
                  <c:v>48.457102091864442</c:v>
                </c:pt>
                <c:pt idx="23">
                  <c:v>194.01489031943507</c:v>
                </c:pt>
                <c:pt idx="24">
                  <c:v>10.161597125862642</c:v>
                </c:pt>
                <c:pt idx="25">
                  <c:v>177.59912987104619</c:v>
                </c:pt>
                <c:pt idx="26">
                  <c:v>168.15354939158723</c:v>
                </c:pt>
                <c:pt idx="27">
                  <c:v>202.89373945963328</c:v>
                </c:pt>
                <c:pt idx="28">
                  <c:v>175.69002233472747</c:v>
                </c:pt>
                <c:pt idx="29">
                  <c:v>213.38331654311858</c:v>
                </c:pt>
                <c:pt idx="30">
                  <c:v>125.96657904848945</c:v>
                </c:pt>
                <c:pt idx="31">
                  <c:v>144.04103038729338</c:v>
                </c:pt>
                <c:pt idx="32">
                  <c:v>132.34279333606523</c:v>
                </c:pt>
                <c:pt idx="3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22-421E-8EAC-91D12DC61249}"/>
            </c:ext>
          </c:extLst>
        </c:ser>
        <c:ser>
          <c:idx val="1"/>
          <c:order val="2"/>
          <c:tx>
            <c:strRef>
              <c:f>Tests!$Q$29</c:f>
              <c:strCache>
                <c:ptCount val="1"/>
                <c:pt idx="0">
                  <c:v>q_ModHyp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Tests!$C$30:$C$229</c:f>
              <c:numCache>
                <c:formatCode>General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Tests!$Q$30:$Q$229</c:f>
              <c:numCache>
                <c:formatCode>General</c:formatCode>
                <c:ptCount val="200"/>
                <c:pt idx="0">
                  <c:v>1020.5091473191668</c:v>
                </c:pt>
                <c:pt idx="1">
                  <c:v>1020.1062878528231</c:v>
                </c:pt>
                <c:pt idx="2">
                  <c:v>1019.6799042140291</c:v>
                </c:pt>
                <c:pt idx="3">
                  <c:v>1019.2286443298531</c:v>
                </c:pt>
                <c:pt idx="4">
                  <c:v>1018.7510810240284</c:v>
                </c:pt>
                <c:pt idx="5">
                  <c:v>1018.2457081614562</c:v>
                </c:pt>
                <c:pt idx="6">
                  <c:v>1017.7109366336964</c:v>
                </c:pt>
                <c:pt idx="7">
                  <c:v>1017.1450901839243</c:v>
                </c:pt>
                <c:pt idx="8">
                  <c:v>1016.5464010705973</c:v>
                </c:pt>
                <c:pt idx="9">
                  <c:v>1015.9130055699937</c:v>
                </c:pt>
                <c:pt idx="10">
                  <c:v>1015.2429393188145</c:v>
                </c:pt>
                <c:pt idx="11">
                  <c:v>1014.534132499271</c:v>
                </c:pt>
                <c:pt idx="12">
                  <c:v>1013.7844048704674</c:v>
                </c:pt>
                <c:pt idx="13">
                  <c:v>1012.991460651483</c:v>
                </c:pt>
                <c:pt idx="14">
                  <c:v>1012.1528832633803</c:v>
                </c:pt>
                <c:pt idx="15">
                  <c:v>1011.2661299394191</c:v>
                </c:pt>
                <c:pt idx="16">
                  <c:v>1010.3285262150818</c:v>
                </c:pt>
                <c:pt idx="17">
                  <c:v>1009.3372603121329</c:v>
                </c:pt>
                <c:pt idx="18">
                  <c:v>1008.2893774338557</c:v>
                </c:pt>
                <c:pt idx="19">
                  <c:v>1007.181773991879</c:v>
                </c:pt>
                <c:pt idx="20">
                  <c:v>1006.0111917886376</c:v>
                </c:pt>
                <c:pt idx="21">
                  <c:v>1004.774212183536</c:v>
                </c:pt>
                <c:pt idx="22">
                  <c:v>1003.467250275317</c:v>
                </c:pt>
                <c:pt idx="23">
                  <c:v>1002.0865491380268</c:v>
                </c:pt>
                <c:pt idx="24">
                  <c:v>1000.6281741533084</c:v>
                </c:pt>
                <c:pt idx="25">
                  <c:v>999.08800748759347</c:v>
                </c:pt>
                <c:pt idx="26">
                  <c:v>997.46174276908903</c:v>
                </c:pt>
                <c:pt idx="27">
                  <c:v>995.7448800263121</c:v>
                </c:pt>
                <c:pt idx="28">
                  <c:v>993.93272095729606</c:v>
                </c:pt>
                <c:pt idx="29">
                  <c:v>992.0203646064773</c:v>
                </c:pt>
                <c:pt idx="30">
                  <c:v>990.00270353468386</c:v>
                </c:pt>
                <c:pt idx="31">
                  <c:v>987.87442057652663</c:v>
                </c:pt>
                <c:pt idx="32">
                  <c:v>985.62998628884111</c:v>
                </c:pt>
                <c:pt idx="33">
                  <c:v>983.26365720356432</c:v>
                </c:pt>
                <c:pt idx="34">
                  <c:v>980.76947500850133</c:v>
                </c:pt>
                <c:pt idx="35">
                  <c:v>978.14126678973878</c:v>
                </c:pt>
                <c:pt idx="36">
                  <c:v>975.37264647987149</c:v>
                </c:pt>
                <c:pt idx="37">
                  <c:v>972.45701766659488</c:v>
                </c:pt>
                <c:pt idx="38">
                  <c:v>969.38757792638307</c:v>
                </c:pt>
                <c:pt idx="39">
                  <c:v>966.15732485769479</c:v>
                </c:pt>
                <c:pt idx="40">
                  <c:v>962.75906399721043</c:v>
                </c:pt>
                <c:pt idx="41">
                  <c:v>959.18541881064732</c:v>
                </c:pt>
                <c:pt idx="42">
                  <c:v>955.42884295644672</c:v>
                </c:pt>
                <c:pt idx="43">
                  <c:v>951.48163502563193</c:v>
                </c:pt>
                <c:pt idx="44">
                  <c:v>947.33595596400971</c:v>
                </c:pt>
                <c:pt idx="45">
                  <c:v>942.98384938311801</c:v>
                </c:pt>
                <c:pt idx="46">
                  <c:v>938.4172649634055</c:v>
                </c:pt>
                <c:pt idx="47">
                  <c:v>933.62808514648998</c:v>
                </c:pt>
                <c:pt idx="48">
                  <c:v>928.6081553023912</c:v>
                </c:pt>
                <c:pt idx="49">
                  <c:v>923.34931754176455</c:v>
                </c:pt>
                <c:pt idx="50">
                  <c:v>917.84344832173247</c:v>
                </c:pt>
                <c:pt idx="51">
                  <c:v>912.08249996632878</c:v>
                </c:pt>
                <c:pt idx="52">
                  <c:v>906.05854618824617</c:v>
                </c:pt>
                <c:pt idx="53">
                  <c:v>899.76383165698792</c:v>
                </c:pt>
                <c:pt idx="54">
                  <c:v>893.1908256092355</c:v>
                </c:pt>
                <c:pt idx="55">
                  <c:v>886.33227943994643</c:v>
                </c:pt>
                <c:pt idx="56">
                  <c:v>879.18128814723252</c:v>
                </c:pt>
                <c:pt idx="57">
                  <c:v>871.73135543048932</c:v>
                </c:pt>
                <c:pt idx="58">
                  <c:v>863.97646215985037</c:v>
                </c:pt>
                <c:pt idx="59">
                  <c:v>855.91113784639037</c:v>
                </c:pt>
                <c:pt idx="60">
                  <c:v>847.53053464752031</c:v>
                </c:pt>
                <c:pt idx="61">
                  <c:v>838.83050334196207</c:v>
                </c:pt>
                <c:pt idx="62">
                  <c:v>829.8076706052226</c:v>
                </c:pt>
                <c:pt idx="63">
                  <c:v>820.45951681166957</c:v>
                </c:pt>
                <c:pt idx="64">
                  <c:v>810.78445348563423</c:v>
                </c:pt>
                <c:pt idx="65">
                  <c:v>800.78189942428139</c:v>
                </c:pt>
                <c:pt idx="66">
                  <c:v>790.45235442255046</c:v>
                </c:pt>
                <c:pt idx="67">
                  <c:v>779.79746944880856</c:v>
                </c:pt>
                <c:pt idx="68">
                  <c:v>768.82011205270396</c:v>
                </c:pt>
                <c:pt idx="69">
                  <c:v>757.52442573794406</c:v>
                </c:pt>
                <c:pt idx="70">
                  <c:v>745.91588200612455</c:v>
                </c:pt>
                <c:pt idx="71">
                  <c:v>734.00132377695525</c:v>
                </c:pt>
                <c:pt idx="72">
                  <c:v>721.78899891845811</c:v>
                </c:pt>
                <c:pt idx="73">
                  <c:v>709.28858268066551</c:v>
                </c:pt>
                <c:pt idx="74">
                  <c:v>696.51118791987392</c:v>
                </c:pt>
                <c:pt idx="75">
                  <c:v>683.46936212859555</c:v>
                </c:pt>
                <c:pt idx="76">
                  <c:v>670.17707044880876</c:v>
                </c:pt>
                <c:pt idx="77">
                  <c:v>656.64966404153188</c:v>
                </c:pt>
                <c:pt idx="78">
                  <c:v>642.90383341138352</c:v>
                </c:pt>
                <c:pt idx="79">
                  <c:v>628.95754653654092</c:v>
                </c:pt>
                <c:pt idx="80">
                  <c:v>614.82997192693563</c:v>
                </c:pt>
                <c:pt idx="81">
                  <c:v>600.54138702000319</c:v>
                </c:pt>
                <c:pt idx="82">
                  <c:v>586.11307261616355</c:v>
                </c:pt>
                <c:pt idx="83">
                  <c:v>571.56719434704553</c:v>
                </c:pt>
                <c:pt idx="84">
                  <c:v>556.92667244939105</c:v>
                </c:pt>
                <c:pt idx="85">
                  <c:v>542.21504137764725</c:v>
                </c:pt>
                <c:pt idx="86">
                  <c:v>527.45630101981772</c:v>
                </c:pt>
                <c:pt idx="87">
                  <c:v>512.67476147625848</c:v>
                </c:pt>
                <c:pt idx="88">
                  <c:v>497.89488351292738</c:v>
                </c:pt>
                <c:pt idx="89">
                  <c:v>483.14111690366525</c:v>
                </c:pt>
                <c:pt idx="90">
                  <c:v>468.4377389267126</c:v>
                </c:pt>
                <c:pt idx="91">
                  <c:v>453.80869527695006</c:v>
                </c:pt>
                <c:pt idx="92">
                  <c:v>439.277445597471</c:v>
                </c:pt>
                <c:pt idx="93">
                  <c:v>424.86681572413715</c:v>
                </c:pt>
                <c:pt idx="94">
                  <c:v>410.59885857872297</c:v>
                </c:pt>
                <c:pt idx="95">
                  <c:v>396.49472544575735</c:v>
                </c:pt>
                <c:pt idx="96">
                  <c:v>382.57454913225621</c:v>
                </c:pt>
                <c:pt idx="97">
                  <c:v>368.85734024625378</c:v>
                </c:pt>
                <c:pt idx="98">
                  <c:v>355.36089754810769</c:v>
                </c:pt>
                <c:pt idx="99">
                  <c:v>342.10173303693091</c:v>
                </c:pt>
                <c:pt idx="100">
                  <c:v>329.09501214202555</c:v>
                </c:pt>
                <c:pt idx="101">
                  <c:v>316.35450910419905</c:v>
                </c:pt>
                <c:pt idx="102">
                  <c:v>303.89257736185471</c:v>
                </c:pt>
                <c:pt idx="103">
                  <c:v>291.72013450825648</c:v>
                </c:pt>
                <c:pt idx="104">
                  <c:v>279.84666116461869</c:v>
                </c:pt>
                <c:pt idx="105">
                  <c:v>268.28021292259257</c:v>
                </c:pt>
                <c:pt idx="106">
                  <c:v>257.02744435187168</c:v>
                </c:pt>
                <c:pt idx="107">
                  <c:v>246.09364394526321</c:v>
                </c:pt>
                <c:pt idx="108">
                  <c:v>235.48277878467357</c:v>
                </c:pt>
                <c:pt idx="109">
                  <c:v>225.19754765595027</c:v>
                </c:pt>
                <c:pt idx="110">
                  <c:v>215.2394413163905</c:v>
                </c:pt>
                <c:pt idx="111">
                  <c:v>205.60880862322074</c:v>
                </c:pt>
                <c:pt idx="112">
                  <c:v>196.30492726116992</c:v>
                </c:pt>
                <c:pt idx="113">
                  <c:v>187.32607785875052</c:v>
                </c:pt>
                <c:pt idx="114">
                  <c:v>178.66962035220405</c:v>
                </c:pt>
                <c:pt idx="115">
                  <c:v>170.33207153941134</c:v>
                </c:pt>
                <c:pt idx="116">
                  <c:v>162.30918285969111</c:v>
                </c:pt>
                <c:pt idx="117">
                  <c:v>154.59601753581452</c:v>
                </c:pt>
                <c:pt idx="118">
                  <c:v>147.18702631856124</c:v>
                </c:pt>
                <c:pt idx="119">
                  <c:v>140.07612117890892</c:v>
                </c:pt>
                <c:pt idx="120">
                  <c:v>133.25674639606638</c:v>
                </c:pt>
                <c:pt idx="121">
                  <c:v>126.72194658901476</c:v>
                </c:pt>
                <c:pt idx="122">
                  <c:v>120.46443133341063</c:v>
                </c:pt>
                <c:pt idx="123">
                  <c:v>114.47663609341278</c:v>
                </c:pt>
                <c:pt idx="124">
                  <c:v>108.75077927835946</c:v>
                </c:pt>
                <c:pt idx="125">
                  <c:v>103.27891530671185</c:v>
                </c:pt>
                <c:pt idx="126">
                  <c:v>98.052983624032052</c:v>
                </c:pt>
                <c:pt idx="127">
                  <c:v>93.06485367796283</c:v>
                </c:pt>
                <c:pt idx="128">
                  <c:v>88.306365901398081</c:v>
                </c:pt>
                <c:pt idx="129">
                  <c:v>83.769368795608088</c:v>
                </c:pt>
                <c:pt idx="130">
                  <c:v>79.445752238461822</c:v>
                </c:pt>
                <c:pt idx="131">
                  <c:v>75.327477169601408</c:v>
                </c:pt>
                <c:pt idx="132">
                  <c:v>71.406601825058189</c:v>
                </c:pt>
                <c:pt idx="133">
                  <c:v>67.675304708969435</c:v>
                </c:pt>
                <c:pt idx="134">
                  <c:v>64.125904500383015</c:v>
                </c:pt>
                <c:pt idx="135">
                  <c:v>60.750877099236241</c:v>
                </c:pt>
                <c:pt idx="136">
                  <c:v>57.542870018054117</c:v>
                </c:pt>
                <c:pt idx="137">
                  <c:v>54.494714325291319</c:v>
                </c:pt>
                <c:pt idx="138">
                  <c:v>51.599434343056522</c:v>
                </c:pt>
                <c:pt idx="139">
                  <c:v>48.850255296683855</c:v>
                </c:pt>
                <c:pt idx="140">
                  <c:v>46.240609106682342</c:v>
                </c:pt>
                <c:pt idx="141">
                  <c:v>43.764138505380949</c:v>
                </c:pt>
                <c:pt idx="142">
                  <c:v>41.403773760351179</c:v>
                </c:pt>
                <c:pt idx="143">
                  <c:v>39.091623984334227</c:v>
                </c:pt>
                <c:pt idx="144">
                  <c:v>36.822198884883569</c:v>
                </c:pt>
                <c:pt idx="145">
                  <c:v>34.601557531184099</c:v>
                </c:pt>
                <c:pt idx="146">
                  <c:v>32.435473181354126</c:v>
                </c:pt>
                <c:pt idx="147">
                  <c:v>30.329369279238623</c:v>
                </c:pt>
                <c:pt idx="148">
                  <c:v>28.288259368204734</c:v>
                </c:pt>
                <c:pt idx="149">
                  <c:v>26.316692297480724</c:v>
                </c:pt>
                <c:pt idx="150">
                  <c:v>24.418704004840038</c:v>
                </c:pt>
                <c:pt idx="151">
                  <c:v>22.597777019671216</c:v>
                </c:pt>
                <c:pt idx="152">
                  <c:v>20.856808646162396</c:v>
                </c:pt>
                <c:pt idx="153">
                  <c:v>19.198088563370874</c:v>
                </c:pt>
                <c:pt idx="154">
                  <c:v>17.62328632547224</c:v>
                </c:pt>
                <c:pt idx="155">
                  <c:v>16.133448971465551</c:v>
                </c:pt>
                <c:pt idx="156">
                  <c:v>14.729008670351062</c:v>
                </c:pt>
                <c:pt idx="157">
                  <c:v>13.409800047280735</c:v>
                </c:pt>
                <c:pt idx="158">
                  <c:v>12.175086570377204</c:v>
                </c:pt>
                <c:pt idx="159">
                  <c:v>11.023595138057587</c:v>
                </c:pt>
                <c:pt idx="160">
                  <c:v>9.9535578026102751</c:v>
                </c:pt>
                <c:pt idx="161">
                  <c:v>8.9627594052984438</c:v>
                </c:pt>
                <c:pt idx="162">
                  <c:v>8.0485897868318812</c:v>
                </c:pt>
                <c:pt idx="163">
                  <c:v>7.2080991774171235</c:v>
                </c:pt>
                <c:pt idx="164">
                  <c:v>6.4380553627871171</c:v>
                </c:pt>
                <c:pt idx="165">
                  <c:v>5.7350012640392327</c:v>
                </c:pt>
                <c:pt idx="166">
                  <c:v>5.0953116548744459</c:v>
                </c:pt>
                <c:pt idx="167">
                  <c:v>4.5152478631543964</c:v>
                </c:pt>
                <c:pt idx="168">
                  <c:v>3.9910094564563043</c:v>
                </c:pt>
                <c:pt idx="169">
                  <c:v>3.5187820846223179</c:v>
                </c:pt>
                <c:pt idx="170">
                  <c:v>3.0947808371006524</c:v>
                </c:pt>
                <c:pt idx="171">
                  <c:v>2.715288660441781</c:v>
                </c:pt>
                <c:pt idx="172">
                  <c:v>2.3766895637328158</c:v>
                </c:pt>
                <c:pt idx="173">
                  <c:v>2.0754965102741352</c:v>
                </c:pt>
                <c:pt idx="174">
                  <c:v>1.8083740470636149</c:v>
                </c:pt>
                <c:pt idx="175">
                  <c:v>1.5721558558009507</c:v>
                </c:pt>
                <c:pt idx="176">
                  <c:v>1.3638575178126913</c:v>
                </c:pt>
                <c:pt idx="177">
                  <c:v>1.1806848696006862</c:v>
                </c:pt>
                <c:pt idx="178">
                  <c:v>1.02003838595832</c:v>
                </c:pt>
                <c:pt idx="179">
                  <c:v>0.87951406514322816</c:v>
                </c:pt>
                <c:pt idx="180">
                  <c:v>0.75690130760059193</c:v>
                </c:pt>
                <c:pt idx="181">
                  <c:v>0.65017827890426794</c:v>
                </c:pt>
                <c:pt idx="182">
                  <c:v>0.55750523194364543</c:v>
                </c:pt>
                <c:pt idx="183">
                  <c:v>0.47721623605575686</c:v>
                </c:pt>
                <c:pt idx="184">
                  <c:v>0.40780972483685302</c:v>
                </c:pt>
                <c:pt idx="185">
                  <c:v>0.34793823260987428</c:v>
                </c:pt>
                <c:pt idx="186">
                  <c:v>0.29639764451357403</c:v>
                </c:pt>
                <c:pt idx="187">
                  <c:v>0.25211623909049002</c:v>
                </c:pt>
                <c:pt idx="188">
                  <c:v>0.21414375686753279</c:v>
                </c:pt>
                <c:pt idx="189">
                  <c:v>0.18164068513531048</c:v>
                </c:pt>
                <c:pt idx="190">
                  <c:v>0.15386790895949201</c:v>
                </c:pt>
                <c:pt idx="191">
                  <c:v>0.13017684208202243</c:v>
                </c:pt>
                <c:pt idx="192">
                  <c:v>0.1100001191824197</c:v>
                </c:pt>
                <c:pt idx="193">
                  <c:v>9.2842903117135875E-2</c:v>
                </c:pt>
                <c:pt idx="194">
                  <c:v>7.8274837191730118E-2</c:v>
                </c:pt>
                <c:pt idx="195">
                  <c:v>6.5922653053321012E-2</c:v>
                </c:pt>
                <c:pt idx="196">
                  <c:v>5.5463429122292962E-2</c:v>
                </c:pt>
                <c:pt idx="197">
                  <c:v>4.6618482248347456E-2</c:v>
                </c:pt>
                <c:pt idx="198">
                  <c:v>3.914786607649369E-2</c:v>
                </c:pt>
                <c:pt idx="199">
                  <c:v>3.2845443032001431E-2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A22-421E-8EAC-91D12DC61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orientation val="minMax"/>
          <c:max val="1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logBase val="10"/>
          <c:orientation val="minMax"/>
          <c:max val="2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Simulated Data &amp; THM Forecast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Tests!$D$29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Tests!$C$30:$C$229</c:f>
              <c:numCache>
                <c:formatCode>General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Tests!$D$30:$D$229</c:f>
              <c:numCache>
                <c:formatCode>General</c:formatCode>
                <c:ptCount val="200"/>
                <c:pt idx="0">
                  <c:v>1133.6280409086728</c:v>
                </c:pt>
                <c:pt idx="1">
                  <c:v>1132.8503056284396</c:v>
                </c:pt>
                <c:pt idx="2">
                  <c:v>1132.0282299242951</c:v>
                </c:pt>
                <c:pt idx="3">
                  <c:v>1131.1593920802823</c:v>
                </c:pt>
                <c:pt idx="4">
                  <c:v>1130.2412506808921</c:v>
                </c:pt>
                <c:pt idx="5">
                  <c:v>1129.2711401892341</c:v>
                </c:pt>
                <c:pt idx="6">
                  <c:v>1128.2462665479377</c:v>
                </c:pt>
                <c:pt idx="7">
                  <c:v>1127.1637028317891</c:v>
                </c:pt>
                <c:pt idx="8">
                  <c:v>1126.0203849850247</c:v>
                </c:pt>
                <c:pt idx="9">
                  <c:v>1124.8131076804316</c:v>
                </c:pt>
                <c:pt idx="10">
                  <c:v>1123.5385203419607</c:v>
                </c:pt>
                <c:pt idx="11">
                  <c:v>1122.1931233774342</c:v>
                </c:pt>
                <c:pt idx="12">
                  <c:v>1120.7732646730924</c:v>
                </c:pt>
                <c:pt idx="13">
                  <c:v>1119.2751364072233</c:v>
                </c:pt>
                <c:pt idx="14">
                  <c:v>1117.6947722458378</c:v>
                </c:pt>
                <c:pt idx="15">
                  <c:v>1116.0280449893601</c:v>
                </c:pt>
                <c:pt idx="16">
                  <c:v>1114.2706647454586</c:v>
                </c:pt>
                <c:pt idx="17">
                  <c:v>1112.4181777094714</c:v>
                </c:pt>
                <c:pt idx="18">
                  <c:v>1110.4659656402314</c:v>
                </c:pt>
                <c:pt idx="19">
                  <c:v>1108.40924612546</c:v>
                </c:pt>
                <c:pt idx="20">
                  <c:v>1106.243073737081</c:v>
                </c:pt>
                <c:pt idx="21">
                  <c:v>1103.9623421827582</c:v>
                </c:pt>
                <c:pt idx="22">
                  <c:v>1101.5617875654696</c:v>
                </c:pt>
                <c:pt idx="23">
                  <c:v>1099.0359928678647</c:v>
                </c:pt>
                <c:pt idx="24">
                  <c:v>1096.3793937822732</c:v>
                </c:pt>
                <c:pt idx="25">
                  <c:v>1093.5862860103784</c:v>
                </c:pt>
                <c:pt idx="26">
                  <c:v>1090.6508341584104</c:v>
                </c:pt>
                <c:pt idx="27">
                  <c:v>1087.5670823540684</c:v>
                </c:pt>
                <c:pt idx="28">
                  <c:v>1084.328966709897</c:v>
                </c:pt>
                <c:pt idx="29">
                  <c:v>1080.9303297542449</c:v>
                </c:pt>
                <c:pt idx="30">
                  <c:v>1077.3649369448922</c:v>
                </c:pt>
                <c:pt idx="31">
                  <c:v>1073.6264953716445</c:v>
                </c:pt>
                <c:pt idx="32">
                  <c:v>1069.7086747423102</c:v>
                </c:pt>
                <c:pt idx="33">
                  <c:v>1065.6051307312212</c:v>
                </c:pt>
                <c:pt idx="34">
                  <c:v>1061.3095307505414</c:v>
                </c:pt>
                <c:pt idx="35">
                  <c:v>1056.8155821817941</c:v>
                </c:pt>
                <c:pt idx="36">
                  <c:v>1052.1170630781398</c:v>
                </c:pt>
                <c:pt idx="37">
                  <c:v>1047.2078553168785</c:v>
                </c:pt>
                <c:pt idx="38">
                  <c:v>1042.0819801463585</c:v>
                </c:pt>
                <c:pt idx="39">
                  <c:v>1036.7336360321333</c:v>
                </c:pt>
                <c:pt idx="40">
                  <c:v>1031.1572386639723</c:v>
                </c:pt>
                <c:pt idx="41">
                  <c:v>1025.3474629386237</c:v>
                </c:pt>
                <c:pt idx="42">
                  <c:v>1019.2992866836016</c:v>
                </c:pt>
                <c:pt idx="43">
                  <c:v>1013.0080358354099</c:v>
                </c:pt>
                <c:pt idx="44">
                  <c:v>1006.4694307324761</c:v>
                </c:pt>
                <c:pt idx="45">
                  <c:v>999.67963312969709</c:v>
                </c:pt>
                <c:pt idx="46">
                  <c:v>992.63529348919451</c:v>
                </c:pt>
                <c:pt idx="47">
                  <c:v>985.33359805204805</c:v>
                </c:pt>
                <c:pt idx="48">
                  <c:v>977.77231514998095</c:v>
                </c:pt>
                <c:pt idx="49">
                  <c:v>969.94984017587251</c:v>
                </c:pt>
                <c:pt idx="50">
                  <c:v>961.86523859925614</c:v>
                </c:pt>
                <c:pt idx="51">
                  <c:v>953.51828638933478</c:v>
                </c:pt>
                <c:pt idx="52">
                  <c:v>944.90950719509772</c:v>
                </c:pt>
                <c:pt idx="53">
                  <c:v>936.04020563133429</c:v>
                </c:pt>
                <c:pt idx="54">
                  <c:v>926.9124960319416</c:v>
                </c:pt>
                <c:pt idx="55">
                  <c:v>917.52932605883666</c:v>
                </c:pt>
                <c:pt idx="56">
                  <c:v>907.89449459658999</c:v>
                </c:pt>
                <c:pt idx="57">
                  <c:v>898.01266341970029</c:v>
                </c:pt>
                <c:pt idx="58">
                  <c:v>887.88936219088339</c:v>
                </c:pt>
                <c:pt idx="59">
                  <c:v>877.53098643396913</c:v>
                </c:pt>
                <c:pt idx="60">
                  <c:v>866.9447882225918</c:v>
                </c:pt>
                <c:pt idx="61">
                  <c:v>856.13885943391801</c:v>
                </c:pt>
                <c:pt idx="62">
                  <c:v>845.12210753279726</c:v>
                </c:pt>
                <c:pt idx="63">
                  <c:v>833.90376978220695</c:v>
                </c:pt>
                <c:pt idx="64">
                  <c:v>822.45955102972903</c:v>
                </c:pt>
                <c:pt idx="65">
                  <c:v>810.7777124670738</c:v>
                </c:pt>
                <c:pt idx="66">
                  <c:v>798.86866919074157</c:v>
                </c:pt>
                <c:pt idx="67">
                  <c:v>786.74378730870092</c:v>
                </c:pt>
                <c:pt idx="68">
                  <c:v>774.41534129202273</c:v>
                </c:pt>
                <c:pt idx="69">
                  <c:v>761.89646237480554</c:v>
                </c:pt>
                <c:pt idx="70">
                  <c:v>749.2010784362227</c:v>
                </c:pt>
                <c:pt idx="71">
                  <c:v>736.34384595337281</c:v>
                </c:pt>
                <c:pt idx="72">
                  <c:v>723.3400747590656</c:v>
                </c:pt>
                <c:pt idx="73">
                  <c:v>710.20564647046535</c:v>
                </c:pt>
                <c:pt idx="74">
                  <c:v>696.95692756879862</c:v>
                </c:pt>
                <c:pt idx="75">
                  <c:v>683.61067820374194</c:v>
                </c:pt>
                <c:pt idx="76">
                  <c:v>670.18395786603924</c:v>
                </c:pt>
                <c:pt idx="77">
                  <c:v>656.64966404153211</c:v>
                </c:pt>
                <c:pt idx="78">
                  <c:v>642.90383341138363</c:v>
                </c:pt>
                <c:pt idx="79">
                  <c:v>628.95754653654114</c:v>
                </c:pt>
                <c:pt idx="80">
                  <c:v>614.82997192693585</c:v>
                </c:pt>
                <c:pt idx="81">
                  <c:v>600.5413870200033</c:v>
                </c:pt>
                <c:pt idx="82">
                  <c:v>586.11307261616366</c:v>
                </c:pt>
                <c:pt idx="83">
                  <c:v>571.56719434704564</c:v>
                </c:pt>
                <c:pt idx="84">
                  <c:v>556.92667244939116</c:v>
                </c:pt>
                <c:pt idx="85">
                  <c:v>542.21504137764748</c:v>
                </c:pt>
                <c:pt idx="86">
                  <c:v>527.45630101981783</c:v>
                </c:pt>
                <c:pt idx="87">
                  <c:v>512.67476147625871</c:v>
                </c:pt>
                <c:pt idx="88">
                  <c:v>497.89488351292749</c:v>
                </c:pt>
                <c:pt idx="89">
                  <c:v>483.14111690366536</c:v>
                </c:pt>
                <c:pt idx="90">
                  <c:v>468.43773892671277</c:v>
                </c:pt>
                <c:pt idx="91">
                  <c:v>453.80869527695023</c:v>
                </c:pt>
                <c:pt idx="92">
                  <c:v>439.27744559747111</c:v>
                </c:pt>
                <c:pt idx="93">
                  <c:v>424.86681572413727</c:v>
                </c:pt>
                <c:pt idx="94">
                  <c:v>410.59885857872308</c:v>
                </c:pt>
                <c:pt idx="95">
                  <c:v>396.49472544575752</c:v>
                </c:pt>
                <c:pt idx="96">
                  <c:v>382.57454913225638</c:v>
                </c:pt>
                <c:pt idx="97">
                  <c:v>368.8573402462539</c:v>
                </c:pt>
                <c:pt idx="98">
                  <c:v>355.36089754810786</c:v>
                </c:pt>
                <c:pt idx="99">
                  <c:v>342.10173303693102</c:v>
                </c:pt>
                <c:pt idx="100">
                  <c:v>329.09501214202567</c:v>
                </c:pt>
                <c:pt idx="101">
                  <c:v>316.35450910419917</c:v>
                </c:pt>
                <c:pt idx="102">
                  <c:v>303.89257736185482</c:v>
                </c:pt>
                <c:pt idx="103">
                  <c:v>291.72013450825654</c:v>
                </c:pt>
                <c:pt idx="104">
                  <c:v>279.84666116461881</c:v>
                </c:pt>
                <c:pt idx="105">
                  <c:v>268.28021292259268</c:v>
                </c:pt>
                <c:pt idx="106">
                  <c:v>257.02744435187179</c:v>
                </c:pt>
                <c:pt idx="107">
                  <c:v>246.0936439452633</c:v>
                </c:pt>
                <c:pt idx="108">
                  <c:v>235.48277878467368</c:v>
                </c:pt>
                <c:pt idx="109">
                  <c:v>225.19754765595036</c:v>
                </c:pt>
                <c:pt idx="110">
                  <c:v>215.23944131639055</c:v>
                </c:pt>
                <c:pt idx="111">
                  <c:v>205.60880862322085</c:v>
                </c:pt>
                <c:pt idx="112">
                  <c:v>196.30492726117004</c:v>
                </c:pt>
                <c:pt idx="113">
                  <c:v>187.32607785875061</c:v>
                </c:pt>
                <c:pt idx="114">
                  <c:v>178.66962035220413</c:v>
                </c:pt>
                <c:pt idx="115">
                  <c:v>170.33207153941143</c:v>
                </c:pt>
                <c:pt idx="116">
                  <c:v>162.30918285969119</c:v>
                </c:pt>
                <c:pt idx="117">
                  <c:v>154.59601753581458</c:v>
                </c:pt>
                <c:pt idx="118">
                  <c:v>147.18702631856132</c:v>
                </c:pt>
                <c:pt idx="119">
                  <c:v>140.07612117890898</c:v>
                </c:pt>
                <c:pt idx="120">
                  <c:v>133.25674639606643</c:v>
                </c:pt>
                <c:pt idx="121">
                  <c:v>126.72194658901482</c:v>
                </c:pt>
                <c:pt idx="122">
                  <c:v>120.46443133341067</c:v>
                </c:pt>
                <c:pt idx="123">
                  <c:v>114.47663609341285</c:v>
                </c:pt>
                <c:pt idx="124">
                  <c:v>108.75077927835952</c:v>
                </c:pt>
                <c:pt idx="125">
                  <c:v>103.27891530671189</c:v>
                </c:pt>
                <c:pt idx="126">
                  <c:v>98.052983624032095</c:v>
                </c:pt>
                <c:pt idx="127">
                  <c:v>93.064853677962887</c:v>
                </c:pt>
                <c:pt idx="128">
                  <c:v>88.306365901398124</c:v>
                </c:pt>
                <c:pt idx="129">
                  <c:v>83.769368795608131</c:v>
                </c:pt>
                <c:pt idx="130">
                  <c:v>79.445752238461864</c:v>
                </c:pt>
                <c:pt idx="131">
                  <c:v>75.327477169601451</c:v>
                </c:pt>
                <c:pt idx="132">
                  <c:v>71.406601825058218</c:v>
                </c:pt>
                <c:pt idx="133">
                  <c:v>67.675304708969463</c:v>
                </c:pt>
                <c:pt idx="134">
                  <c:v>64.125904500383044</c:v>
                </c:pt>
                <c:pt idx="135">
                  <c:v>60.750877099236277</c:v>
                </c:pt>
                <c:pt idx="136">
                  <c:v>57.542870018054145</c:v>
                </c:pt>
                <c:pt idx="137">
                  <c:v>54.494714325291341</c:v>
                </c:pt>
                <c:pt idx="138">
                  <c:v>51.599434343056544</c:v>
                </c:pt>
                <c:pt idx="139">
                  <c:v>48.850255296683883</c:v>
                </c:pt>
                <c:pt idx="140">
                  <c:v>46.240609106682363</c:v>
                </c:pt>
                <c:pt idx="141">
                  <c:v>43.76413850538097</c:v>
                </c:pt>
                <c:pt idx="142">
                  <c:v>41.4037737603512</c:v>
                </c:pt>
                <c:pt idx="143">
                  <c:v>39.091623984334248</c:v>
                </c:pt>
                <c:pt idx="144">
                  <c:v>36.822198884883591</c:v>
                </c:pt>
                <c:pt idx="145">
                  <c:v>34.60155753118412</c:v>
                </c:pt>
                <c:pt idx="146">
                  <c:v>32.435473181354141</c:v>
                </c:pt>
                <c:pt idx="147">
                  <c:v>30.329369279238637</c:v>
                </c:pt>
                <c:pt idx="148">
                  <c:v>28.288259368204749</c:v>
                </c:pt>
                <c:pt idx="149">
                  <c:v>26.316692297480738</c:v>
                </c:pt>
                <c:pt idx="150">
                  <c:v>24.418704004840048</c:v>
                </c:pt>
                <c:pt idx="151">
                  <c:v>22.597777019671231</c:v>
                </c:pt>
                <c:pt idx="152">
                  <c:v>20.856808646162406</c:v>
                </c:pt>
                <c:pt idx="153">
                  <c:v>19.198088563370881</c:v>
                </c:pt>
                <c:pt idx="154">
                  <c:v>17.62328632547225</c:v>
                </c:pt>
                <c:pt idx="155">
                  <c:v>16.133448971465558</c:v>
                </c:pt>
                <c:pt idx="156">
                  <c:v>14.729008670351069</c:v>
                </c:pt>
                <c:pt idx="157">
                  <c:v>13.409800047280742</c:v>
                </c:pt>
                <c:pt idx="158">
                  <c:v>12.175086570377209</c:v>
                </c:pt>
                <c:pt idx="159">
                  <c:v>11.023595138057592</c:v>
                </c:pt>
                <c:pt idx="160">
                  <c:v>9.9535578026102804</c:v>
                </c:pt>
                <c:pt idx="161">
                  <c:v>8.9627594052984474</c:v>
                </c:pt>
                <c:pt idx="162">
                  <c:v>8.0485897868318848</c:v>
                </c:pt>
                <c:pt idx="163">
                  <c:v>7.208099177417127</c:v>
                </c:pt>
                <c:pt idx="164">
                  <c:v>6.4380553627871198</c:v>
                </c:pt>
                <c:pt idx="165">
                  <c:v>5.7350012640392354</c:v>
                </c:pt>
                <c:pt idx="166">
                  <c:v>5.0953116548744486</c:v>
                </c:pt>
                <c:pt idx="167">
                  <c:v>4.5152478631543991</c:v>
                </c:pt>
                <c:pt idx="168">
                  <c:v>3.9910094564563066</c:v>
                </c:pt>
                <c:pt idx="169">
                  <c:v>3.5187820846223197</c:v>
                </c:pt>
                <c:pt idx="170">
                  <c:v>3.0947808371006538</c:v>
                </c:pt>
                <c:pt idx="171">
                  <c:v>2.7152886604417827</c:v>
                </c:pt>
                <c:pt idx="172">
                  <c:v>2.3766895637328167</c:v>
                </c:pt>
                <c:pt idx="173">
                  <c:v>2.0754965102741361</c:v>
                </c:pt>
                <c:pt idx="174">
                  <c:v>1.8083740470636158</c:v>
                </c:pt>
                <c:pt idx="175">
                  <c:v>1.5721558558009516</c:v>
                </c:pt>
                <c:pt idx="176">
                  <c:v>1.3638575178126919</c:v>
                </c:pt>
                <c:pt idx="177">
                  <c:v>1.1806848696006866</c:v>
                </c:pt>
                <c:pt idx="178">
                  <c:v>1.0200383859583204</c:v>
                </c:pt>
                <c:pt idx="179">
                  <c:v>0.87951406514322861</c:v>
                </c:pt>
                <c:pt idx="180">
                  <c:v>0.75690130760059238</c:v>
                </c:pt>
                <c:pt idx="181">
                  <c:v>0.65017827890426827</c:v>
                </c:pt>
                <c:pt idx="182">
                  <c:v>0.55750523194364576</c:v>
                </c:pt>
                <c:pt idx="183">
                  <c:v>0.47721623605575708</c:v>
                </c:pt>
                <c:pt idx="184">
                  <c:v>0.40780972483685324</c:v>
                </c:pt>
                <c:pt idx="185">
                  <c:v>0.34793823260987444</c:v>
                </c:pt>
                <c:pt idx="186">
                  <c:v>0.29639764451357414</c:v>
                </c:pt>
                <c:pt idx="187">
                  <c:v>0.25211623909049014</c:v>
                </c:pt>
                <c:pt idx="188">
                  <c:v>0.2141437568675329</c:v>
                </c:pt>
                <c:pt idx="189">
                  <c:v>0.18164068513531056</c:v>
                </c:pt>
                <c:pt idx="190">
                  <c:v>0.15386790895949209</c:v>
                </c:pt>
                <c:pt idx="191">
                  <c:v>0.13017684208202251</c:v>
                </c:pt>
                <c:pt idx="192">
                  <c:v>0.11000011918241975</c:v>
                </c:pt>
                <c:pt idx="193">
                  <c:v>9.284290311713593E-2</c:v>
                </c:pt>
                <c:pt idx="194">
                  <c:v>7.8274837191730159E-2</c:v>
                </c:pt>
                <c:pt idx="195">
                  <c:v>6.5922653053321054E-2</c:v>
                </c:pt>
                <c:pt idx="196">
                  <c:v>5.546342912229299E-2</c:v>
                </c:pt>
                <c:pt idx="197">
                  <c:v>4.6618482248347484E-2</c:v>
                </c:pt>
                <c:pt idx="198">
                  <c:v>3.9147866076493711E-2</c:v>
                </c:pt>
                <c:pt idx="199">
                  <c:v>3.2845443032001445E-2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5F-444F-9A16-E9E5A6A230B6}"/>
            </c:ext>
          </c:extLst>
        </c:ser>
        <c:ser>
          <c:idx val="2"/>
          <c:order val="1"/>
          <c:tx>
            <c:strRef>
              <c:f>Tests!$AB$29</c:f>
              <c:strCache>
                <c:ptCount val="1"/>
                <c:pt idx="0">
                  <c:v>Well Rates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Tests!$U$30:$U$130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Tests!$AB$30:$AB$63</c:f>
              <c:numCache>
                <c:formatCode>#,##0.00</c:formatCode>
                <c:ptCount val="34"/>
                <c:pt idx="0">
                  <c:v>307.89710163790267</c:v>
                </c:pt>
                <c:pt idx="1">
                  <c:v>636.00981789572222</c:v>
                </c:pt>
                <c:pt idx="2">
                  <c:v>890.83270965237602</c:v>
                </c:pt>
                <c:pt idx="3">
                  <c:v>935.36824109230668</c:v>
                </c:pt>
                <c:pt idx="4">
                  <c:v>843.05822069903945</c:v>
                </c:pt>
                <c:pt idx="5">
                  <c:v>7.5502281936806961</c:v>
                </c:pt>
                <c:pt idx="6">
                  <c:v>381.81016092702208</c:v>
                </c:pt>
                <c:pt idx="7">
                  <c:v>490.64088780217349</c:v>
                </c:pt>
                <c:pt idx="8">
                  <c:v>2.0342958404499583</c:v>
                </c:pt>
                <c:pt idx="9">
                  <c:v>360.88177466283867</c:v>
                </c:pt>
                <c:pt idx="10">
                  <c:v>322.80862950841868</c:v>
                </c:pt>
                <c:pt idx="11">
                  <c:v>366.52128313679827</c:v>
                </c:pt>
                <c:pt idx="12">
                  <c:v>374.57598166645056</c:v>
                </c:pt>
                <c:pt idx="13">
                  <c:v>333.65598092757557</c:v>
                </c:pt>
                <c:pt idx="14">
                  <c:v>287.31250661718855</c:v>
                </c:pt>
                <c:pt idx="15">
                  <c:v>366.37742066459003</c:v>
                </c:pt>
                <c:pt idx="16">
                  <c:v>305.48871344689485</c:v>
                </c:pt>
                <c:pt idx="17">
                  <c:v>194.57208518853096</c:v>
                </c:pt>
                <c:pt idx="18">
                  <c:v>255.82797091059902</c:v>
                </c:pt>
                <c:pt idx="19">
                  <c:v>179.27225577503702</c:v>
                </c:pt>
                <c:pt idx="20">
                  <c:v>234.61582893793317</c:v>
                </c:pt>
                <c:pt idx="21">
                  <c:v>120.97498289115498</c:v>
                </c:pt>
                <c:pt idx="22">
                  <c:v>48.457102091864442</c:v>
                </c:pt>
                <c:pt idx="23">
                  <c:v>194.01489031943507</c:v>
                </c:pt>
                <c:pt idx="24">
                  <c:v>10.161597125862642</c:v>
                </c:pt>
                <c:pt idx="25">
                  <c:v>177.59912987104619</c:v>
                </c:pt>
                <c:pt idx="26">
                  <c:v>168.15354939158723</c:v>
                </c:pt>
                <c:pt idx="27">
                  <c:v>202.89373945963328</c:v>
                </c:pt>
                <c:pt idx="28">
                  <c:v>175.69002233472747</c:v>
                </c:pt>
                <c:pt idx="29">
                  <c:v>213.38331654311858</c:v>
                </c:pt>
                <c:pt idx="30">
                  <c:v>125.96657904848945</c:v>
                </c:pt>
                <c:pt idx="31">
                  <c:v>144.04103038729338</c:v>
                </c:pt>
                <c:pt idx="32">
                  <c:v>132.34279333606523</c:v>
                </c:pt>
                <c:pt idx="3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5F-444F-9A16-E9E5A6A230B6}"/>
            </c:ext>
          </c:extLst>
        </c:ser>
        <c:ser>
          <c:idx val="1"/>
          <c:order val="2"/>
          <c:tx>
            <c:strRef>
              <c:f>Tests!$Q$29</c:f>
              <c:strCache>
                <c:ptCount val="1"/>
                <c:pt idx="0">
                  <c:v>q_ModHyp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Tests!$C$30:$C$229</c:f>
              <c:numCache>
                <c:formatCode>General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Tests!$Q$30:$Q$229</c:f>
              <c:numCache>
                <c:formatCode>General</c:formatCode>
                <c:ptCount val="200"/>
                <c:pt idx="0">
                  <c:v>1020.5091473191668</c:v>
                </c:pt>
                <c:pt idx="1">
                  <c:v>1020.1062878528231</c:v>
                </c:pt>
                <c:pt idx="2">
                  <c:v>1019.6799042140291</c:v>
                </c:pt>
                <c:pt idx="3">
                  <c:v>1019.2286443298531</c:v>
                </c:pt>
                <c:pt idx="4">
                  <c:v>1018.7510810240284</c:v>
                </c:pt>
                <c:pt idx="5">
                  <c:v>1018.2457081614562</c:v>
                </c:pt>
                <c:pt idx="6">
                  <c:v>1017.7109366336964</c:v>
                </c:pt>
                <c:pt idx="7">
                  <c:v>1017.1450901839243</c:v>
                </c:pt>
                <c:pt idx="8">
                  <c:v>1016.5464010705973</c:v>
                </c:pt>
                <c:pt idx="9">
                  <c:v>1015.9130055699937</c:v>
                </c:pt>
                <c:pt idx="10">
                  <c:v>1015.2429393188145</c:v>
                </c:pt>
                <c:pt idx="11">
                  <c:v>1014.534132499271</c:v>
                </c:pt>
                <c:pt idx="12">
                  <c:v>1013.7844048704674</c:v>
                </c:pt>
                <c:pt idx="13">
                  <c:v>1012.991460651483</c:v>
                </c:pt>
                <c:pt idx="14">
                  <c:v>1012.1528832633803</c:v>
                </c:pt>
                <c:pt idx="15">
                  <c:v>1011.2661299394191</c:v>
                </c:pt>
                <c:pt idx="16">
                  <c:v>1010.3285262150818</c:v>
                </c:pt>
                <c:pt idx="17">
                  <c:v>1009.3372603121329</c:v>
                </c:pt>
                <c:pt idx="18">
                  <c:v>1008.2893774338557</c:v>
                </c:pt>
                <c:pt idx="19">
                  <c:v>1007.181773991879</c:v>
                </c:pt>
                <c:pt idx="20">
                  <c:v>1006.0111917886376</c:v>
                </c:pt>
                <c:pt idx="21">
                  <c:v>1004.774212183536</c:v>
                </c:pt>
                <c:pt idx="22">
                  <c:v>1003.467250275317</c:v>
                </c:pt>
                <c:pt idx="23">
                  <c:v>1002.0865491380268</c:v>
                </c:pt>
                <c:pt idx="24">
                  <c:v>1000.6281741533084</c:v>
                </c:pt>
                <c:pt idx="25">
                  <c:v>999.08800748759347</c:v>
                </c:pt>
                <c:pt idx="26">
                  <c:v>997.46174276908903</c:v>
                </c:pt>
                <c:pt idx="27">
                  <c:v>995.7448800263121</c:v>
                </c:pt>
                <c:pt idx="28">
                  <c:v>993.93272095729606</c:v>
                </c:pt>
                <c:pt idx="29">
                  <c:v>992.0203646064773</c:v>
                </c:pt>
                <c:pt idx="30">
                  <c:v>990.00270353468386</c:v>
                </c:pt>
                <c:pt idx="31">
                  <c:v>987.87442057652663</c:v>
                </c:pt>
                <c:pt idx="32">
                  <c:v>985.62998628884111</c:v>
                </c:pt>
                <c:pt idx="33">
                  <c:v>983.26365720356432</c:v>
                </c:pt>
                <c:pt idx="34">
                  <c:v>980.76947500850133</c:v>
                </c:pt>
                <c:pt idx="35">
                  <c:v>978.14126678973878</c:v>
                </c:pt>
                <c:pt idx="36">
                  <c:v>975.37264647987149</c:v>
                </c:pt>
                <c:pt idx="37">
                  <c:v>972.45701766659488</c:v>
                </c:pt>
                <c:pt idx="38">
                  <c:v>969.38757792638307</c:v>
                </c:pt>
                <c:pt idx="39">
                  <c:v>966.15732485769479</c:v>
                </c:pt>
                <c:pt idx="40">
                  <c:v>962.75906399721043</c:v>
                </c:pt>
                <c:pt idx="41">
                  <c:v>959.18541881064732</c:v>
                </c:pt>
                <c:pt idx="42">
                  <c:v>955.42884295644672</c:v>
                </c:pt>
                <c:pt idx="43">
                  <c:v>951.48163502563193</c:v>
                </c:pt>
                <c:pt idx="44">
                  <c:v>947.33595596400971</c:v>
                </c:pt>
                <c:pt idx="45">
                  <c:v>942.98384938311801</c:v>
                </c:pt>
                <c:pt idx="46">
                  <c:v>938.4172649634055</c:v>
                </c:pt>
                <c:pt idx="47">
                  <c:v>933.62808514648998</c:v>
                </c:pt>
                <c:pt idx="48">
                  <c:v>928.6081553023912</c:v>
                </c:pt>
                <c:pt idx="49">
                  <c:v>923.34931754176455</c:v>
                </c:pt>
                <c:pt idx="50">
                  <c:v>917.84344832173247</c:v>
                </c:pt>
                <c:pt idx="51">
                  <c:v>912.08249996632878</c:v>
                </c:pt>
                <c:pt idx="52">
                  <c:v>906.05854618824617</c:v>
                </c:pt>
                <c:pt idx="53">
                  <c:v>899.76383165698792</c:v>
                </c:pt>
                <c:pt idx="54">
                  <c:v>893.1908256092355</c:v>
                </c:pt>
                <c:pt idx="55">
                  <c:v>886.33227943994643</c:v>
                </c:pt>
                <c:pt idx="56">
                  <c:v>879.18128814723252</c:v>
                </c:pt>
                <c:pt idx="57">
                  <c:v>871.73135543048932</c:v>
                </c:pt>
                <c:pt idx="58">
                  <c:v>863.97646215985037</c:v>
                </c:pt>
                <c:pt idx="59">
                  <c:v>855.91113784639037</c:v>
                </c:pt>
                <c:pt idx="60">
                  <c:v>847.53053464752031</c:v>
                </c:pt>
                <c:pt idx="61">
                  <c:v>838.83050334196207</c:v>
                </c:pt>
                <c:pt idx="62">
                  <c:v>829.8076706052226</c:v>
                </c:pt>
                <c:pt idx="63">
                  <c:v>820.45951681166957</c:v>
                </c:pt>
                <c:pt idx="64">
                  <c:v>810.78445348563423</c:v>
                </c:pt>
                <c:pt idx="65">
                  <c:v>800.78189942428139</c:v>
                </c:pt>
                <c:pt idx="66">
                  <c:v>790.45235442255046</c:v>
                </c:pt>
                <c:pt idx="67">
                  <c:v>779.79746944880856</c:v>
                </c:pt>
                <c:pt idx="68">
                  <c:v>768.82011205270396</c:v>
                </c:pt>
                <c:pt idx="69">
                  <c:v>757.52442573794406</c:v>
                </c:pt>
                <c:pt idx="70">
                  <c:v>745.91588200612455</c:v>
                </c:pt>
                <c:pt idx="71">
                  <c:v>734.00132377695525</c:v>
                </c:pt>
                <c:pt idx="72">
                  <c:v>721.78899891845811</c:v>
                </c:pt>
                <c:pt idx="73">
                  <c:v>709.28858268066551</c:v>
                </c:pt>
                <c:pt idx="74">
                  <c:v>696.51118791987392</c:v>
                </c:pt>
                <c:pt idx="75">
                  <c:v>683.46936212859555</c:v>
                </c:pt>
                <c:pt idx="76">
                  <c:v>670.17707044880876</c:v>
                </c:pt>
                <c:pt idx="77">
                  <c:v>656.64966404153188</c:v>
                </c:pt>
                <c:pt idx="78">
                  <c:v>642.90383341138352</c:v>
                </c:pt>
                <c:pt idx="79">
                  <c:v>628.95754653654092</c:v>
                </c:pt>
                <c:pt idx="80">
                  <c:v>614.82997192693563</c:v>
                </c:pt>
                <c:pt idx="81">
                  <c:v>600.54138702000319</c:v>
                </c:pt>
                <c:pt idx="82">
                  <c:v>586.11307261616355</c:v>
                </c:pt>
                <c:pt idx="83">
                  <c:v>571.56719434704553</c:v>
                </c:pt>
                <c:pt idx="84">
                  <c:v>556.92667244939105</c:v>
                </c:pt>
                <c:pt idx="85">
                  <c:v>542.21504137764725</c:v>
                </c:pt>
                <c:pt idx="86">
                  <c:v>527.45630101981772</c:v>
                </c:pt>
                <c:pt idx="87">
                  <c:v>512.67476147625848</c:v>
                </c:pt>
                <c:pt idx="88">
                  <c:v>497.89488351292738</c:v>
                </c:pt>
                <c:pt idx="89">
                  <c:v>483.14111690366525</c:v>
                </c:pt>
                <c:pt idx="90">
                  <c:v>468.4377389267126</c:v>
                </c:pt>
                <c:pt idx="91">
                  <c:v>453.80869527695006</c:v>
                </c:pt>
                <c:pt idx="92">
                  <c:v>439.277445597471</c:v>
                </c:pt>
                <c:pt idx="93">
                  <c:v>424.86681572413715</c:v>
                </c:pt>
                <c:pt idx="94">
                  <c:v>410.59885857872297</c:v>
                </c:pt>
                <c:pt idx="95">
                  <c:v>396.49472544575735</c:v>
                </c:pt>
                <c:pt idx="96">
                  <c:v>382.57454913225621</c:v>
                </c:pt>
                <c:pt idx="97">
                  <c:v>368.85734024625378</c:v>
                </c:pt>
                <c:pt idx="98">
                  <c:v>355.36089754810769</c:v>
                </c:pt>
                <c:pt idx="99">
                  <c:v>342.10173303693091</c:v>
                </c:pt>
                <c:pt idx="100">
                  <c:v>329.09501214202555</c:v>
                </c:pt>
                <c:pt idx="101">
                  <c:v>316.35450910419905</c:v>
                </c:pt>
                <c:pt idx="102">
                  <c:v>303.89257736185471</c:v>
                </c:pt>
                <c:pt idx="103">
                  <c:v>291.72013450825648</c:v>
                </c:pt>
                <c:pt idx="104">
                  <c:v>279.84666116461869</c:v>
                </c:pt>
                <c:pt idx="105">
                  <c:v>268.28021292259257</c:v>
                </c:pt>
                <c:pt idx="106">
                  <c:v>257.02744435187168</c:v>
                </c:pt>
                <c:pt idx="107">
                  <c:v>246.09364394526321</c:v>
                </c:pt>
                <c:pt idx="108">
                  <c:v>235.48277878467357</c:v>
                </c:pt>
                <c:pt idx="109">
                  <c:v>225.19754765595027</c:v>
                </c:pt>
                <c:pt idx="110">
                  <c:v>215.2394413163905</c:v>
                </c:pt>
                <c:pt idx="111">
                  <c:v>205.60880862322074</c:v>
                </c:pt>
                <c:pt idx="112">
                  <c:v>196.30492726116992</c:v>
                </c:pt>
                <c:pt idx="113">
                  <c:v>187.32607785875052</c:v>
                </c:pt>
                <c:pt idx="114">
                  <c:v>178.66962035220405</c:v>
                </c:pt>
                <c:pt idx="115">
                  <c:v>170.33207153941134</c:v>
                </c:pt>
                <c:pt idx="116">
                  <c:v>162.30918285969111</c:v>
                </c:pt>
                <c:pt idx="117">
                  <c:v>154.59601753581452</c:v>
                </c:pt>
                <c:pt idx="118">
                  <c:v>147.18702631856124</c:v>
                </c:pt>
                <c:pt idx="119">
                  <c:v>140.07612117890892</c:v>
                </c:pt>
                <c:pt idx="120">
                  <c:v>133.25674639606638</c:v>
                </c:pt>
                <c:pt idx="121">
                  <c:v>126.72194658901476</c:v>
                </c:pt>
                <c:pt idx="122">
                  <c:v>120.46443133341063</c:v>
                </c:pt>
                <c:pt idx="123">
                  <c:v>114.47663609341278</c:v>
                </c:pt>
                <c:pt idx="124">
                  <c:v>108.75077927835946</c:v>
                </c:pt>
                <c:pt idx="125">
                  <c:v>103.27891530671185</c:v>
                </c:pt>
                <c:pt idx="126">
                  <c:v>98.052983624032052</c:v>
                </c:pt>
                <c:pt idx="127">
                  <c:v>93.06485367796283</c:v>
                </c:pt>
                <c:pt idx="128">
                  <c:v>88.306365901398081</c:v>
                </c:pt>
                <c:pt idx="129">
                  <c:v>83.769368795608088</c:v>
                </c:pt>
                <c:pt idx="130">
                  <c:v>79.445752238461822</c:v>
                </c:pt>
                <c:pt idx="131">
                  <c:v>75.327477169601408</c:v>
                </c:pt>
                <c:pt idx="132">
                  <c:v>71.406601825058189</c:v>
                </c:pt>
                <c:pt idx="133">
                  <c:v>67.675304708969435</c:v>
                </c:pt>
                <c:pt idx="134">
                  <c:v>64.125904500383015</c:v>
                </c:pt>
                <c:pt idx="135">
                  <c:v>60.750877099236241</c:v>
                </c:pt>
                <c:pt idx="136">
                  <c:v>57.542870018054117</c:v>
                </c:pt>
                <c:pt idx="137">
                  <c:v>54.494714325291319</c:v>
                </c:pt>
                <c:pt idx="138">
                  <c:v>51.599434343056522</c:v>
                </c:pt>
                <c:pt idx="139">
                  <c:v>48.850255296683855</c:v>
                </c:pt>
                <c:pt idx="140">
                  <c:v>46.240609106682342</c:v>
                </c:pt>
                <c:pt idx="141">
                  <c:v>43.764138505380949</c:v>
                </c:pt>
                <c:pt idx="142">
                  <c:v>41.403773760351179</c:v>
                </c:pt>
                <c:pt idx="143">
                  <c:v>39.091623984334227</c:v>
                </c:pt>
                <c:pt idx="144">
                  <c:v>36.822198884883569</c:v>
                </c:pt>
                <c:pt idx="145">
                  <c:v>34.601557531184099</c:v>
                </c:pt>
                <c:pt idx="146">
                  <c:v>32.435473181354126</c:v>
                </c:pt>
                <c:pt idx="147">
                  <c:v>30.329369279238623</c:v>
                </c:pt>
                <c:pt idx="148">
                  <c:v>28.288259368204734</c:v>
                </c:pt>
                <c:pt idx="149">
                  <c:v>26.316692297480724</c:v>
                </c:pt>
                <c:pt idx="150">
                  <c:v>24.418704004840038</c:v>
                </c:pt>
                <c:pt idx="151">
                  <c:v>22.597777019671216</c:v>
                </c:pt>
                <c:pt idx="152">
                  <c:v>20.856808646162396</c:v>
                </c:pt>
                <c:pt idx="153">
                  <c:v>19.198088563370874</c:v>
                </c:pt>
                <c:pt idx="154">
                  <c:v>17.62328632547224</c:v>
                </c:pt>
                <c:pt idx="155">
                  <c:v>16.133448971465551</c:v>
                </c:pt>
                <c:pt idx="156">
                  <c:v>14.729008670351062</c:v>
                </c:pt>
                <c:pt idx="157">
                  <c:v>13.409800047280735</c:v>
                </c:pt>
                <c:pt idx="158">
                  <c:v>12.175086570377204</c:v>
                </c:pt>
                <c:pt idx="159">
                  <c:v>11.023595138057587</c:v>
                </c:pt>
                <c:pt idx="160">
                  <c:v>9.9535578026102751</c:v>
                </c:pt>
                <c:pt idx="161">
                  <c:v>8.9627594052984438</c:v>
                </c:pt>
                <c:pt idx="162">
                  <c:v>8.0485897868318812</c:v>
                </c:pt>
                <c:pt idx="163">
                  <c:v>7.2080991774171235</c:v>
                </c:pt>
                <c:pt idx="164">
                  <c:v>6.4380553627871171</c:v>
                </c:pt>
                <c:pt idx="165">
                  <c:v>5.7350012640392327</c:v>
                </c:pt>
                <c:pt idx="166">
                  <c:v>5.0953116548744459</c:v>
                </c:pt>
                <c:pt idx="167">
                  <c:v>4.5152478631543964</c:v>
                </c:pt>
                <c:pt idx="168">
                  <c:v>3.9910094564563043</c:v>
                </c:pt>
                <c:pt idx="169">
                  <c:v>3.5187820846223179</c:v>
                </c:pt>
                <c:pt idx="170">
                  <c:v>3.0947808371006524</c:v>
                </c:pt>
                <c:pt idx="171">
                  <c:v>2.715288660441781</c:v>
                </c:pt>
                <c:pt idx="172">
                  <c:v>2.3766895637328158</c:v>
                </c:pt>
                <c:pt idx="173">
                  <c:v>2.0754965102741352</c:v>
                </c:pt>
                <c:pt idx="174">
                  <c:v>1.8083740470636149</c:v>
                </c:pt>
                <c:pt idx="175">
                  <c:v>1.5721558558009507</c:v>
                </c:pt>
                <c:pt idx="176">
                  <c:v>1.3638575178126913</c:v>
                </c:pt>
                <c:pt idx="177">
                  <c:v>1.1806848696006862</c:v>
                </c:pt>
                <c:pt idx="178">
                  <c:v>1.02003838595832</c:v>
                </c:pt>
                <c:pt idx="179">
                  <c:v>0.87951406514322816</c:v>
                </c:pt>
                <c:pt idx="180">
                  <c:v>0.75690130760059193</c:v>
                </c:pt>
                <c:pt idx="181">
                  <c:v>0.65017827890426794</c:v>
                </c:pt>
                <c:pt idx="182">
                  <c:v>0.55750523194364543</c:v>
                </c:pt>
                <c:pt idx="183">
                  <c:v>0.47721623605575686</c:v>
                </c:pt>
                <c:pt idx="184">
                  <c:v>0.40780972483685302</c:v>
                </c:pt>
                <c:pt idx="185">
                  <c:v>0.34793823260987428</c:v>
                </c:pt>
                <c:pt idx="186">
                  <c:v>0.29639764451357403</c:v>
                </c:pt>
                <c:pt idx="187">
                  <c:v>0.25211623909049002</c:v>
                </c:pt>
                <c:pt idx="188">
                  <c:v>0.21414375686753279</c:v>
                </c:pt>
                <c:pt idx="189">
                  <c:v>0.18164068513531048</c:v>
                </c:pt>
                <c:pt idx="190">
                  <c:v>0.15386790895949201</c:v>
                </c:pt>
                <c:pt idx="191">
                  <c:v>0.13017684208202243</c:v>
                </c:pt>
                <c:pt idx="192">
                  <c:v>0.1100001191824197</c:v>
                </c:pt>
                <c:pt idx="193">
                  <c:v>9.2842903117135875E-2</c:v>
                </c:pt>
                <c:pt idx="194">
                  <c:v>7.8274837191730118E-2</c:v>
                </c:pt>
                <c:pt idx="195">
                  <c:v>6.5922653053321012E-2</c:v>
                </c:pt>
                <c:pt idx="196">
                  <c:v>5.5463429122292962E-2</c:v>
                </c:pt>
                <c:pt idx="197">
                  <c:v>4.6618482248347456E-2</c:v>
                </c:pt>
                <c:pt idx="198">
                  <c:v>3.914786607649369E-2</c:v>
                </c:pt>
                <c:pt idx="199">
                  <c:v>3.2845443032001431E-2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5F-444F-9A16-E9E5A6A23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logBase val="10"/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Simulated Data &amp; THM Forecast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Tests!$H$29</c:f>
              <c:strCache>
                <c:ptCount val="1"/>
                <c:pt idx="0">
                  <c:v>N_Norm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Tests!$C$30:$C$229</c:f>
              <c:numCache>
                <c:formatCode>General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Tests!$H$30:$H$229</c:f>
              <c:numCache>
                <c:formatCode>General</c:formatCode>
                <c:ptCount val="200"/>
                <c:pt idx="0">
                  <c:v>1.0503413265782762</c:v>
                </c:pt>
                <c:pt idx="1">
                  <c:v>1.1121939473809868</c:v>
                </c:pt>
                <c:pt idx="2">
                  <c:v>1.1776653193521356</c:v>
                </c:pt>
                <c:pt idx="3">
                  <c:v>1.246964336989038</c:v>
                </c:pt>
                <c:pt idx="4">
                  <c:v>1.3203116186049291</c:v>
                </c:pt>
                <c:pt idx="5">
                  <c:v>1.3979401250075607</c:v>
                </c:pt>
                <c:pt idx="6">
                  <c:v>1.4800958062471543</c:v>
                </c:pt>
                <c:pt idx="7">
                  <c:v>1.5670382771694122</c:v>
                </c:pt>
                <c:pt idx="8">
                  <c:v>1.6590415224612181</c:v>
                </c:pt>
                <c:pt idx="9">
                  <c:v>1.7563946318172685</c:v>
                </c:pt>
                <c:pt idx="10">
                  <c:v>1.8594025657848878</c:v>
                </c:pt>
                <c:pt idx="11">
                  <c:v>1.968386952760385</c:v>
                </c:pt>
                <c:pt idx="12">
                  <c:v>2.0836869175133992</c:v>
                </c:pt>
                <c:pt idx="13">
                  <c:v>2.2056599415023701</c:v>
                </c:pt>
                <c:pt idx="14">
                  <c:v>2.3346827551163796</c:v>
                </c:pt>
                <c:pt idx="15">
                  <c:v>2.4711522618330091</c:v>
                </c:pt>
                <c:pt idx="16">
                  <c:v>2.6154864941179898</c:v>
                </c:pt>
                <c:pt idx="17">
                  <c:v>2.7681256007103041</c:v>
                </c:pt>
                <c:pt idx="18">
                  <c:v>2.9295328647340804</c:v>
                </c:pt>
                <c:pt idx="19">
                  <c:v>3.1001957518556162</c:v>
                </c:pt>
                <c:pt idx="20">
                  <c:v>3.2806269874615084</c:v>
                </c:pt>
                <c:pt idx="21">
                  <c:v>3.4713656615685502</c:v>
                </c:pt>
                <c:pt idx="22">
                  <c:v>3.6729783598922414</c:v>
                </c:pt>
                <c:pt idx="23">
                  <c:v>3.8860603191945255</c:v>
                </c:pt>
                <c:pt idx="24">
                  <c:v>4.1112366047083757</c:v>
                </c:pt>
                <c:pt idx="25">
                  <c:v>4.3491633070931108</c:v>
                </c:pt>
                <c:pt idx="26">
                  <c:v>4.6005287560181429</c:v>
                </c:pt>
                <c:pt idx="27">
                  <c:v>4.8660547471010638</c:v>
                </c:pt>
                <c:pt idx="28">
                  <c:v>5.1464977785458235</c:v>
                </c:pt>
                <c:pt idx="29">
                  <c:v>5.442650293441039</c:v>
                </c:pt>
                <c:pt idx="30">
                  <c:v>5.75534192329226</c:v>
                </c:pt>
                <c:pt idx="31">
                  <c:v>6.0854407279810356</c:v>
                </c:pt>
                <c:pt idx="32">
                  <c:v>6.4338544269753566</c:v>
                </c:pt>
                <c:pt idx="33">
                  <c:v>6.8015316162670514</c:v>
                </c:pt>
                <c:pt idx="34">
                  <c:v>7.1894629651920647</c:v>
                </c:pt>
                <c:pt idx="35">
                  <c:v>7.598682387006896</c:v>
                </c:pt>
                <c:pt idx="36">
                  <c:v>8.0302681768605115</c:v>
                </c:pt>
                <c:pt idx="37">
                  <c:v>8.4853441106253626</c:v>
                </c:pt>
                <c:pt idx="38">
                  <c:v>8.9650804979465022</c:v>
                </c:pt>
                <c:pt idx="39">
                  <c:v>9.4706951828431603</c:v>
                </c:pt>
                <c:pt idx="40">
                  <c:v>10.003454485266856</c:v>
                </c:pt>
                <c:pt idx="41">
                  <c:v>10.564674077193271</c:v>
                </c:pt>
                <c:pt idx="42">
                  <c:v>11.155719787112362</c:v>
                </c:pt>
                <c:pt idx="43">
                  <c:v>11.778008327192749</c:v>
                </c:pt>
                <c:pt idx="44">
                  <c:v>12.433007937938164</c:v>
                </c:pt>
                <c:pt idx="45">
                  <c:v>13.122238945833354</c:v>
                </c:pt>
                <c:pt idx="46">
                  <c:v>13.847274230295561</c:v>
                </c:pt>
                <c:pt idx="47">
                  <c:v>14.609739597206573</c:v>
                </c:pt>
                <c:pt idx="48">
                  <c:v>15.411314057396121</c:v>
                </c:pt>
                <c:pt idx="49">
                  <c:v>16.253730009672573</c:v>
                </c:pt>
                <c:pt idx="50">
                  <c:v>17.13877332934134</c:v>
                </c:pt>
                <c:pt idx="51">
                  <c:v>18.068283364598113</c:v>
                </c:pt>
                <c:pt idx="52">
                  <c:v>19.044152844716397</c:v>
                </c:pt>
                <c:pt idx="53">
                  <c:v>20.068327705540664</c:v>
                </c:pt>
                <c:pt idx="54">
                  <c:v>21.142806839421802</c:v>
                </c:pt>
                <c:pt idx="55">
                  <c:v>22.269641778360477</c:v>
                </c:pt>
                <c:pt idx="56">
                  <c:v>23.450936320721883</c:v>
                </c:pt>
                <c:pt idx="57">
                  <c:v>24.688846113418915</c:v>
                </c:pt>
                <c:pt idx="58">
                  <c:v>25.985578202892953</c:v>
                </c:pt>
                <c:pt idx="59">
                  <c:v>27.343390569518817</c:v>
                </c:pt>
                <c:pt idx="60">
                  <c:v>28.764591661186991</c:v>
                </c:pt>
                <c:pt idx="61">
                  <c:v>30.251539942742951</c:v>
                </c:pt>
                <c:pt idx="62">
                  <c:v>31.806643478662814</c:v>
                </c:pt>
                <c:pt idx="63">
                  <c:v>33.432359528526376</c:v>
                </c:pt>
                <c:pt idx="64">
                  <c:v>35.131166354839884</c:v>
                </c:pt>
                <c:pt idx="65">
                  <c:v>36.905504417406533</c:v>
                </c:pt>
                <c:pt idx="66">
                  <c:v>38.757825213696641</c:v>
                </c:pt>
                <c:pt idx="67">
                  <c:v>40.690600441048097</c:v>
                </c:pt>
                <c:pt idx="68">
                  <c:v>42.706319456010853</c:v>
                </c:pt>
                <c:pt idx="69">
                  <c:v>44.80748682818156</c:v>
                </c:pt>
                <c:pt idx="70">
                  <c:v>46.996620018828395</c:v>
                </c:pt>
                <c:pt idx="71">
                  <c:v>49.276247213639842</c:v>
                </c:pt>
                <c:pt idx="72">
                  <c:v>51.648905337463752</c:v>
                </c:pt>
                <c:pt idx="73">
                  <c:v>54.117138276948971</c:v>
                </c:pt>
                <c:pt idx="74">
                  <c:v>56.683495334611614</c:v>
                </c:pt>
                <c:pt idx="75">
                  <c:v>59.350529935066014</c:v>
                </c:pt>
                <c:pt idx="76">
                  <c:v>62.120798601051462</c:v>
                </c:pt>
                <c:pt idx="77">
                  <c:v>64.99681338871828</c:v>
                </c:pt>
                <c:pt idx="78">
                  <c:v>67.980604053261331</c:v>
                </c:pt>
                <c:pt idx="79">
                  <c:v>71.07382931884824</c:v>
                </c:pt>
                <c:pt idx="80">
                  <c:v>74.277998367108296</c:v>
                </c:pt>
                <c:pt idx="81">
                  <c:v>77.594464448313147</c:v>
                </c:pt>
                <c:pt idx="82">
                  <c:v>81.024416525991228</c:v>
                </c:pt>
                <c:pt idx="83">
                  <c:v>84.568871807782642</c:v>
                </c:pt>
                <c:pt idx="84">
                  <c:v>88.228669260159421</c:v>
                </c:pt>
                <c:pt idx="85">
                  <c:v>92.00446419353608</c:v>
                </c:pt>
                <c:pt idx="86">
                  <c:v>95.896723991240279</c:v>
                </c:pt>
                <c:pt idx="87">
                  <c:v>99.905725041073836</c:v>
                </c:pt>
                <c:pt idx="88">
                  <c:v>104.03155091207533</c:v>
                </c:pt>
                <c:pt idx="89">
                  <c:v>108.27409180196838</c:v>
                </c:pt>
                <c:pt idx="90">
                  <c:v>112.63304526304329</c:v>
                </c:pt>
                <c:pt idx="91">
                  <c:v>117.10791819629644</c:v>
                </c:pt>
                <c:pt idx="92">
                  <c:v>121.6980300859736</c:v>
                </c:pt>
                <c:pt idx="93">
                  <c:v>126.40251742965017</c:v>
                </c:pt>
                <c:pt idx="94">
                  <c:v>131.22033930302931</c:v>
                </c:pt>
                <c:pt idx="95">
                  <c:v>136.15028398411033</c:v>
                </c:pt>
                <c:pt idx="96">
                  <c:v>141.190976548577</c:v>
                </c:pt>
                <c:pt idx="97">
                  <c:v>146.34088733743434</c:v>
                </c:pt>
                <c:pt idx="98">
                  <c:v>151.59834118925906</c:v>
                </c:pt>
                <c:pt idx="99">
                  <c:v>156.96152732303958</c:v>
                </c:pt>
                <c:pt idx="100">
                  <c:v>162.42850975350353</c:v>
                </c:pt>
                <c:pt idx="101">
                  <c:v>167.99723811904357</c:v>
                </c:pt>
                <c:pt idx="102">
                  <c:v>173.66555880275783</c:v>
                </c:pt>
                <c:pt idx="103">
                  <c:v>179.43122622958433</c:v>
                </c:pt>
                <c:pt idx="104">
                  <c:v>185.29191422682982</c:v>
                </c:pt>
                <c:pt idx="105">
                  <c:v>191.24522734134828</c:v>
                </c:pt>
                <c:pt idx="106">
                  <c:v>197.28871201396024</c:v>
                </c:pt>
                <c:pt idx="107">
                  <c:v>203.41986752015148</c:v>
                </c:pt>
                <c:pt idx="108">
                  <c:v>209.63615659537362</c:v>
                </c:pt>
                <c:pt idx="109">
                  <c:v>215.93501567312521</c:v>
                </c:pt>
                <c:pt idx="110">
                  <c:v>222.31386467415982</c:v>
                </c:pt>
                <c:pt idx="111">
                  <c:v>228.77011629541005</c:v>
                </c:pt>
                <c:pt idx="112">
                  <c:v>235.30118475732417</c:v>
                </c:pt>
                <c:pt idx="113">
                  <c:v>241.90449397809084</c:v>
                </c:pt>
                <c:pt idx="114">
                  <c:v>248.57748515253351</c:v>
                </c:pt>
                <c:pt idx="115">
                  <c:v>255.31762372214763</c:v>
                </c:pt>
                <c:pt idx="116">
                  <c:v>262.12240573075161</c:v>
                </c:pt>
                <c:pt idx="117">
                  <c:v>268.98936356744679</c:v>
                </c:pt>
                <c:pt idx="118">
                  <c:v>275.91607110499643</c:v>
                </c:pt>
                <c:pt idx="119">
                  <c:v>282.90014824732543</c:v>
                </c:pt>
                <c:pt idx="120">
                  <c:v>289.93926490460666</c:v>
                </c:pt>
                <c:pt idx="121">
                  <c:v>297.03114441836505</c:v>
                </c:pt>
                <c:pt idx="122">
                  <c:v>304.17356646223038</c:v>
                </c:pt>
                <c:pt idx="123">
                  <c:v>311.36436944644674</c:v>
                </c:pt>
                <c:pt idx="124">
                  <c:v>318.60145245606338</c:v>
                </c:pt>
                <c:pt idx="125">
                  <c:v>325.8827767539409</c:v>
                </c:pt>
                <c:pt idx="126">
                  <c:v>333.2063668803757</c:v>
                </c:pt>
                <c:pt idx="127">
                  <c:v>340.57031138134107</c:v>
                </c:pt>
                <c:pt idx="128">
                  <c:v>347.97276319712176</c:v>
                </c:pt>
                <c:pt idx="129">
                  <c:v>355.41193974255054</c:v>
                </c:pt>
                <c:pt idx="130">
                  <c:v>362.88612270919253</c:v>
                </c:pt>
                <c:pt idx="131">
                  <c:v>370.39365761872654</c:v>
                </c:pt>
                <c:pt idx="132">
                  <c:v>377.93295315548352</c:v>
                </c:pt>
                <c:pt idx="133">
                  <c:v>385.50248030468043</c:v>
                </c:pt>
                <c:pt idx="134">
                  <c:v>393.10077132135581</c:v>
                </c:pt>
                <c:pt idx="135">
                  <c:v>400.7264185534271</c:v>
                </c:pt>
                <c:pt idx="136">
                  <c:v>408.37807314066123</c:v>
                </c:pt>
                <c:pt idx="137">
                  <c:v>416.05444360972047</c:v>
                </c:pt>
                <c:pt idx="138">
                  <c:v>423.75429438382696</c:v>
                </c:pt>
                <c:pt idx="139">
                  <c:v>431.47644422401032</c:v>
                </c:pt>
                <c:pt idx="140">
                  <c:v>439.21976461736489</c:v>
                </c:pt>
                <c:pt idx="141">
                  <c:v>446.98317812627164</c:v>
                </c:pt>
                <c:pt idx="142">
                  <c:v>454.76531707488789</c:v>
                </c:pt>
                <c:pt idx="143">
                  <c:v>462.55683904171173</c:v>
                </c:pt>
                <c:pt idx="144">
                  <c:v>470.34005686500313</c:v>
                </c:pt>
                <c:pt idx="145">
                  <c:v>478.09658313299769</c:v>
                </c:pt>
                <c:pt idx="146">
                  <c:v>485.80783290860217</c:v>
                </c:pt>
                <c:pt idx="147">
                  <c:v>493.45518368161453</c:v>
                </c:pt>
                <c:pt idx="148">
                  <c:v>501.0201415463884</c:v>
                </c:pt>
                <c:pt idx="149">
                  <c:v>508.48451086179529</c:v>
                </c:pt>
                <c:pt idx="150">
                  <c:v>515.83056443022258</c:v>
                </c:pt>
                <c:pt idx="151">
                  <c:v>523.04121108926938</c:v>
                </c:pt>
                <c:pt idx="152">
                  <c:v>530.10015755376776</c:v>
                </c:pt>
                <c:pt idx="153">
                  <c:v>536.9920613835086</c:v>
                </c:pt>
                <c:pt idx="154">
                  <c:v>543.70267208650102</c:v>
                </c:pt>
                <c:pt idx="155">
                  <c:v>550.21895759741108</c:v>
                </c:pt>
                <c:pt idx="156">
                  <c:v>556.52921369032106</c:v>
                </c:pt>
                <c:pt idx="157">
                  <c:v>562.62315428419186</c:v>
                </c:pt>
                <c:pt idx="158">
                  <c:v>568.49198106458721</c:v>
                </c:pt>
                <c:pt idx="159">
                  <c:v>574.12843135936089</c:v>
                </c:pt>
                <c:pt idx="160">
                  <c:v>579.52680374974875</c:v>
                </c:pt>
                <c:pt idx="161">
                  <c:v>584.6829614510051</c:v>
                </c:pt>
                <c:pt idx="162">
                  <c:v>589.59431403748954</c:v>
                </c:pt>
                <c:pt idx="163">
                  <c:v>594.25977859596628</c:v>
                </c:pt>
                <c:pt idx="164">
                  <c:v>598.67972184977555</c:v>
                </c:pt>
                <c:pt idx="165">
                  <c:v>602.85588519026726</c:v>
                </c:pt>
                <c:pt idx="166">
                  <c:v>606.79129486875001</c:v>
                </c:pt>
                <c:pt idx="167">
                  <c:v>610.49015983449328</c:v>
                </c:pt>
                <c:pt idx="168">
                  <c:v>613.95775984845022</c:v>
                </c:pt>
                <c:pt idx="169">
                  <c:v>617.20032655886382</c:v>
                </c:pt>
                <c:pt idx="170">
                  <c:v>620.22492019804008</c:v>
                </c:pt>
                <c:pt idx="171">
                  <c:v>623.0393044568491</c:v>
                </c:pt>
                <c:pt idx="172">
                  <c:v>625.65182192505665</c:v>
                </c:pt>
                <c:pt idx="173">
                  <c:v>628.07127226334126</c:v>
                </c:pt>
                <c:pt idx="174">
                  <c:v>630.30679500984229</c:v>
                </c:pt>
                <c:pt idx="175">
                  <c:v>632.36775863363437</c:v>
                </c:pt>
                <c:pt idx="176">
                  <c:v>634.26365714259282</c:v>
                </c:pt>
                <c:pt idx="177">
                  <c:v>636.004015245716</c:v>
                </c:pt>
                <c:pt idx="178">
                  <c:v>637.59830277072228</c:v>
                </c:pt>
                <c:pt idx="179">
                  <c:v>639.05585875554596</c:v>
                </c:pt>
                <c:pt idx="180">
                  <c:v>640.38582537426214</c:v>
                </c:pt>
                <c:pt idx="181">
                  <c:v>641.59709162906631</c:v>
                </c:pt>
                <c:pt idx="182">
                  <c:v>642.69824654347497</c:v>
                </c:pt>
                <c:pt idx="183">
                  <c:v>643.69754142942065</c:v>
                </c:pt>
                <c:pt idx="184">
                  <c:v>644.6028606723961</c:v>
                </c:pt>
                <c:pt idx="185">
                  <c:v>645.42170038304073</c:v>
                </c:pt>
                <c:pt idx="186">
                  <c:v>646.16115419832136</c:v>
                </c:pt>
                <c:pt idx="187">
                  <c:v>646.82790547779825</c:v>
                </c:pt>
                <c:pt idx="188">
                  <c:v>647.42822512697967</c:v>
                </c:pt>
                <c:pt idx="189">
                  <c:v>647.96797428680406</c:v>
                </c:pt>
                <c:pt idx="190">
                  <c:v>648.45261115213361</c:v>
                </c:pt>
                <c:pt idx="191">
                  <c:v>648.88720121922552</c:v>
                </c:pt>
                <c:pt idx="192">
                  <c:v>649.27643030908223</c:v>
                </c:pt>
                <c:pt idx="193">
                  <c:v>649.62461976732106</c:v>
                </c:pt>
                <c:pt idx="194">
                  <c:v>649.93574329907074</c:v>
                </c:pt>
                <c:pt idx="195">
                  <c:v>650.21344495707058</c:v>
                </c:pt>
                <c:pt idx="196">
                  <c:v>650.46105786075157</c:v>
                </c:pt>
                <c:pt idx="197">
                  <c:v>650.68162328205995</c:v>
                </c:pt>
                <c:pt idx="198">
                  <c:v>650.87790978899704</c:v>
                </c:pt>
                <c:pt idx="199">
                  <c:v>651.05243218944258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3-4623-91C7-B943BB808A17}"/>
            </c:ext>
          </c:extLst>
        </c:ser>
        <c:ser>
          <c:idx val="2"/>
          <c:order val="1"/>
          <c:tx>
            <c:strRef>
              <c:f>Tests!$AA$29</c:f>
              <c:strCache>
                <c:ptCount val="1"/>
                <c:pt idx="0">
                  <c:v>Well Cum.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Tests!$U$30:$U$130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Tests!$AA$30:$AA$63</c:f>
              <c:numCache>
                <c:formatCode>#,##0.00</c:formatCode>
                <c:ptCount val="34"/>
                <c:pt idx="0">
                  <c:v>10.287176763011702</c:v>
                </c:pt>
                <c:pt idx="1">
                  <c:v>26.918232460778924</c:v>
                </c:pt>
                <c:pt idx="2">
                  <c:v>50.434902538874496</c:v>
                </c:pt>
                <c:pt idx="3">
                  <c:v>74.199736293671734</c:v>
                </c:pt>
                <c:pt idx="4">
                  <c:v>95.494827241826926</c:v>
                </c:pt>
                <c:pt idx="5">
                  <c:v>97.408438547567187</c:v>
                </c:pt>
                <c:pt idx="6">
                  <c:v>110.39318354557415</c:v>
                </c:pt>
                <c:pt idx="7">
                  <c:v>124.49505514375984</c:v>
                </c:pt>
                <c:pt idx="8">
                  <c:v>125.36794448111397</c:v>
                </c:pt>
                <c:pt idx="9">
                  <c:v>136.57645368142025</c:v>
                </c:pt>
                <c:pt idx="10">
                  <c:v>146.8220091148535</c:v>
                </c:pt>
                <c:pt idx="11">
                  <c:v>157.39640869350401</c:v>
                </c:pt>
                <c:pt idx="12">
                  <c:v>167.77052738501683</c:v>
                </c:pt>
                <c:pt idx="13">
                  <c:v>177.28847857478542</c:v>
                </c:pt>
                <c:pt idx="14">
                  <c:v>185.88737180994832</c:v>
                </c:pt>
                <c:pt idx="15">
                  <c:v>195.35393610661933</c:v>
                </c:pt>
                <c:pt idx="16">
                  <c:v>203.7916064473996</c:v>
                </c:pt>
                <c:pt idx="17">
                  <c:v>210.37192627287283</c:v>
                </c:pt>
                <c:pt idx="18">
                  <c:v>217.75274510186938</c:v>
                </c:pt>
                <c:pt idx="19">
                  <c:v>223.80218998563066</c:v>
                </c:pt>
                <c:pt idx="20">
                  <c:v>230.58387972285607</c:v>
                </c:pt>
                <c:pt idx="21">
                  <c:v>235.35972413498257</c:v>
                </c:pt>
                <c:pt idx="22">
                  <c:v>238.32620361667699</c:v>
                </c:pt>
                <c:pt idx="23">
                  <c:v>244.15574776682291</c:v>
                </c:pt>
                <c:pt idx="24">
                  <c:v>245.46681856981058</c:v>
                </c:pt>
                <c:pt idx="25">
                  <c:v>250.85632357025921</c:v>
                </c:pt>
                <c:pt idx="26">
                  <c:v>256.01577282389474</c:v>
                </c:pt>
                <c:pt idx="27">
                  <c:v>261.59443424648066</c:v>
                </c:pt>
                <c:pt idx="28">
                  <c:v>266.70682913635949</c:v>
                </c:pt>
                <c:pt idx="29">
                  <c:v>272.25798699728358</c:v>
                </c:pt>
                <c:pt idx="30">
                  <c:v>276.46205251240247</c:v>
                </c:pt>
                <c:pt idx="31">
                  <c:v>280.89506450675356</c:v>
                </c:pt>
                <c:pt idx="32">
                  <c:v>285.08672295853972</c:v>
                </c:pt>
                <c:pt idx="33">
                  <c:v>285.27439128294014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33-4623-91C7-B943BB808A17}"/>
            </c:ext>
          </c:extLst>
        </c:ser>
        <c:ser>
          <c:idx val="1"/>
          <c:order val="2"/>
          <c:tx>
            <c:strRef>
              <c:f>Tests!$AE$29</c:f>
              <c:strCache>
                <c:ptCount val="1"/>
                <c:pt idx="0">
                  <c:v>EUR_t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Tests!$U$30:$U$63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Tests!$AE$30:$AE$63</c:f>
              <c:numCache>
                <c:formatCode>#,##0.00</c:formatCode>
                <c:ptCount val="34"/>
                <c:pt idx="0">
                  <c:v>649.83798590229753</c:v>
                </c:pt>
                <c:pt idx="1">
                  <c:v>641.84724391989641</c:v>
                </c:pt>
                <c:pt idx="2">
                  <c:v>644.21191904597447</c:v>
                </c:pt>
                <c:pt idx="3">
                  <c:v>649.28508798804091</c:v>
                </c:pt>
                <c:pt idx="4">
                  <c:v>653.82176174495044</c:v>
                </c:pt>
                <c:pt idx="5">
                  <c:v>640.54751816392366</c:v>
                </c:pt>
                <c:pt idx="6">
                  <c:v>639.64565145290408</c:v>
                </c:pt>
                <c:pt idx="7">
                  <c:v>640.95667194263376</c:v>
                </c:pt>
                <c:pt idx="8">
                  <c:v>629.97411888952604</c:v>
                </c:pt>
                <c:pt idx="9">
                  <c:v>630.13505381541677</c:v>
                </c:pt>
                <c:pt idx="10">
                  <c:v>630.03779071165786</c:v>
                </c:pt>
                <c:pt idx="11">
                  <c:v>630.88957755565548</c:v>
                </c:pt>
                <c:pt idx="12">
                  <c:v>632.09109741547366</c:v>
                </c:pt>
                <c:pt idx="13">
                  <c:v>632.92755225566339</c:v>
                </c:pt>
                <c:pt idx="14">
                  <c:v>633.2861259237684</c:v>
                </c:pt>
                <c:pt idx="15">
                  <c:v>634.91086808858381</c:v>
                </c:pt>
                <c:pt idx="16">
                  <c:v>635.86844287591668</c:v>
                </c:pt>
                <c:pt idx="17">
                  <c:v>635.29848867812143</c:v>
                </c:pt>
                <c:pt idx="18">
                  <c:v>635.83099341143975</c:v>
                </c:pt>
                <c:pt idx="19">
                  <c:v>635.30961031988772</c:v>
                </c:pt>
                <c:pt idx="20">
                  <c:v>635.77634427205135</c:v>
                </c:pt>
                <c:pt idx="21">
                  <c:v>634.47392210535577</c:v>
                </c:pt>
                <c:pt idx="22">
                  <c:v>631.58172076281289</c:v>
                </c:pt>
                <c:pt idx="23">
                  <c:v>631.75685580141999</c:v>
                </c:pt>
                <c:pt idx="24">
                  <c:v>627.60402334526509</c:v>
                </c:pt>
                <c:pt idx="25">
                  <c:v>627.70771135982875</c:v>
                </c:pt>
                <c:pt idx="26">
                  <c:v>627.7481865785478</c:v>
                </c:pt>
                <c:pt idx="27">
                  <c:v>628.36450584880481</c:v>
                </c:pt>
                <c:pt idx="28">
                  <c:v>628.66188903556531</c:v>
                </c:pt>
                <c:pt idx="29">
                  <c:v>629.5368689084288</c:v>
                </c:pt>
                <c:pt idx="30">
                  <c:v>629.19580788840926</c:v>
                </c:pt>
                <c:pt idx="31">
                  <c:v>629.20759908511411</c:v>
                </c:pt>
                <c:pt idx="32">
                  <c:v>629.09536572517504</c:v>
                </c:pt>
                <c:pt idx="33">
                  <c:v>625.09040459096786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33-4623-91C7-B943BB808A17}"/>
            </c:ext>
          </c:extLst>
        </c:ser>
        <c:ser>
          <c:idx val="3"/>
          <c:order val="3"/>
          <c:tx>
            <c:strRef>
              <c:f>Tests!$AF$29</c:f>
              <c:strCache>
                <c:ptCount val="1"/>
                <c:pt idx="0">
                  <c:v>EUR_qf</c:v>
                </c:pt>
              </c:strCache>
            </c:strRef>
          </c:tx>
          <c:spPr>
            <a:ln w="19050" cap="rnd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Tests!$U$30:$U$63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Tests!$AF$30:$AF$63</c:f>
              <c:numCache>
                <c:formatCode>General</c:formatCode>
                <c:ptCount val="34"/>
                <c:pt idx="0">
                  <c:v>713.32875978195682</c:v>
                </c:pt>
                <c:pt idx="1">
                  <c:v>705.3380177995557</c:v>
                </c:pt>
                <c:pt idx="2">
                  <c:v>707.70269292563376</c:v>
                </c:pt>
                <c:pt idx="3">
                  <c:v>712.77586186770009</c:v>
                </c:pt>
                <c:pt idx="4">
                  <c:v>717.31253562460984</c:v>
                </c:pt>
                <c:pt idx="5">
                  <c:v>704.03829204358294</c:v>
                </c:pt>
                <c:pt idx="6">
                  <c:v>703.13642533256336</c:v>
                </c:pt>
                <c:pt idx="7">
                  <c:v>704.44744582229305</c:v>
                </c:pt>
                <c:pt idx="8">
                  <c:v>693.46489276918533</c:v>
                </c:pt>
                <c:pt idx="9">
                  <c:v>693.62582769507594</c:v>
                </c:pt>
                <c:pt idx="10">
                  <c:v>693.52856459131715</c:v>
                </c:pt>
                <c:pt idx="11">
                  <c:v>694.38035143531465</c:v>
                </c:pt>
                <c:pt idx="12">
                  <c:v>695.58187129513294</c:v>
                </c:pt>
                <c:pt idx="13">
                  <c:v>696.41832613532267</c:v>
                </c:pt>
                <c:pt idx="14">
                  <c:v>696.77689980342768</c:v>
                </c:pt>
                <c:pt idx="15">
                  <c:v>698.4016419682431</c:v>
                </c:pt>
                <c:pt idx="16">
                  <c:v>699.35921675557597</c:v>
                </c:pt>
                <c:pt idx="17">
                  <c:v>698.78926255778072</c:v>
                </c:pt>
                <c:pt idx="18">
                  <c:v>699.32176729109892</c:v>
                </c:pt>
                <c:pt idx="19">
                  <c:v>698.80038419954701</c:v>
                </c:pt>
                <c:pt idx="20">
                  <c:v>699.26711815171052</c:v>
                </c:pt>
                <c:pt idx="21">
                  <c:v>697.96469598501506</c:v>
                </c:pt>
                <c:pt idx="22">
                  <c:v>695.07249464247207</c:v>
                </c:pt>
                <c:pt idx="23">
                  <c:v>695.24762968107927</c:v>
                </c:pt>
                <c:pt idx="24">
                  <c:v>691.09479722492438</c:v>
                </c:pt>
                <c:pt idx="25">
                  <c:v>691.19848523948804</c:v>
                </c:pt>
                <c:pt idx="26">
                  <c:v>691.23896045820709</c:v>
                </c:pt>
                <c:pt idx="27">
                  <c:v>691.8552797284641</c:v>
                </c:pt>
                <c:pt idx="28">
                  <c:v>692.1526629152246</c:v>
                </c:pt>
                <c:pt idx="29">
                  <c:v>693.02764278808809</c:v>
                </c:pt>
                <c:pt idx="30">
                  <c:v>692.68658176806855</c:v>
                </c:pt>
                <c:pt idx="31">
                  <c:v>692.6983729647734</c:v>
                </c:pt>
                <c:pt idx="32">
                  <c:v>692.58613960483444</c:v>
                </c:pt>
                <c:pt idx="33">
                  <c:v>688.58117847062726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33-4623-91C7-B943BB808A17}"/>
            </c:ext>
          </c:extLst>
        </c:ser>
        <c:ser>
          <c:idx val="4"/>
          <c:order val="4"/>
          <c:tx>
            <c:strRef>
              <c:f>Tests!$AC$29</c:f>
              <c:strCache>
                <c:ptCount val="1"/>
                <c:pt idx="0">
                  <c:v>Cum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Tests!$U$30:$U$63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Tests!$AC$30:$AC$63</c:f>
              <c:numCache>
                <c:formatCode>#,##0.00</c:formatCode>
                <c:ptCount val="34"/>
                <c:pt idx="0">
                  <c:v>669.95015978432571</c:v>
                </c:pt>
                <c:pt idx="1">
                  <c:v>669.95015978432571</c:v>
                </c:pt>
                <c:pt idx="2">
                  <c:v>669.95015978432571</c:v>
                </c:pt>
                <c:pt idx="3">
                  <c:v>669.95015978432571</c:v>
                </c:pt>
                <c:pt idx="4">
                  <c:v>669.95015978432571</c:v>
                </c:pt>
                <c:pt idx="5">
                  <c:v>669.95015978432571</c:v>
                </c:pt>
                <c:pt idx="6">
                  <c:v>669.95015978432571</c:v>
                </c:pt>
                <c:pt idx="7">
                  <c:v>669.95015978432571</c:v>
                </c:pt>
                <c:pt idx="8">
                  <c:v>669.95015978432571</c:v>
                </c:pt>
                <c:pt idx="9">
                  <c:v>669.95015978432571</c:v>
                </c:pt>
                <c:pt idx="10">
                  <c:v>669.95015978432571</c:v>
                </c:pt>
                <c:pt idx="11">
                  <c:v>669.95015978432571</c:v>
                </c:pt>
                <c:pt idx="12">
                  <c:v>669.95015978432571</c:v>
                </c:pt>
                <c:pt idx="13">
                  <c:v>669.95015978432571</c:v>
                </c:pt>
                <c:pt idx="14">
                  <c:v>669.95015978432571</c:v>
                </c:pt>
                <c:pt idx="15">
                  <c:v>669.95015978432571</c:v>
                </c:pt>
                <c:pt idx="16">
                  <c:v>669.95015978432571</c:v>
                </c:pt>
                <c:pt idx="17">
                  <c:v>669.95015978432571</c:v>
                </c:pt>
                <c:pt idx="18">
                  <c:v>669.95015978432571</c:v>
                </c:pt>
                <c:pt idx="19">
                  <c:v>669.95015978432571</c:v>
                </c:pt>
                <c:pt idx="20">
                  <c:v>669.95015978432571</c:v>
                </c:pt>
                <c:pt idx="21">
                  <c:v>669.95015978432571</c:v>
                </c:pt>
                <c:pt idx="22">
                  <c:v>669.95015978432571</c:v>
                </c:pt>
                <c:pt idx="23">
                  <c:v>669.95015978432571</c:v>
                </c:pt>
                <c:pt idx="24">
                  <c:v>669.95015978432571</c:v>
                </c:pt>
                <c:pt idx="25">
                  <c:v>669.95015978432571</c:v>
                </c:pt>
                <c:pt idx="26">
                  <c:v>669.95015978432571</c:v>
                </c:pt>
                <c:pt idx="27">
                  <c:v>669.95015978432571</c:v>
                </c:pt>
                <c:pt idx="28">
                  <c:v>669.95015978432571</c:v>
                </c:pt>
                <c:pt idx="29">
                  <c:v>669.95015978432571</c:v>
                </c:pt>
                <c:pt idx="30">
                  <c:v>669.95015978432571</c:v>
                </c:pt>
                <c:pt idx="31">
                  <c:v>669.95015978432571</c:v>
                </c:pt>
                <c:pt idx="32">
                  <c:v>669.95015978432571</c:v>
                </c:pt>
                <c:pt idx="33">
                  <c:v>669.95015978432571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33-4623-91C7-B943BB808A17}"/>
            </c:ext>
          </c:extLst>
        </c:ser>
        <c:ser>
          <c:idx val="5"/>
          <c:order val="5"/>
          <c:tx>
            <c:strRef>
              <c:f>Tests!$AD$29</c:f>
              <c:strCache>
                <c:ptCount val="1"/>
                <c:pt idx="0">
                  <c:v>Cum_qf</c:v>
                </c:pt>
              </c:strCache>
            </c:strRef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Tests!$U$30:$U$63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Tests!$AD$30:$AD$63</c:f>
              <c:numCache>
                <c:formatCode>General</c:formatCode>
                <c:ptCount val="34"/>
                <c:pt idx="0">
                  <c:v>733.44093366398499</c:v>
                </c:pt>
                <c:pt idx="1">
                  <c:v>733.44093366398499</c:v>
                </c:pt>
                <c:pt idx="2">
                  <c:v>733.44093366398499</c:v>
                </c:pt>
                <c:pt idx="3">
                  <c:v>733.44093366398499</c:v>
                </c:pt>
                <c:pt idx="4">
                  <c:v>733.44093366398499</c:v>
                </c:pt>
                <c:pt idx="5">
                  <c:v>733.44093366398499</c:v>
                </c:pt>
                <c:pt idx="6">
                  <c:v>733.44093366398499</c:v>
                </c:pt>
                <c:pt idx="7">
                  <c:v>733.44093366398499</c:v>
                </c:pt>
                <c:pt idx="8">
                  <c:v>733.44093366398499</c:v>
                </c:pt>
                <c:pt idx="9">
                  <c:v>733.44093366398499</c:v>
                </c:pt>
                <c:pt idx="10">
                  <c:v>733.44093366398499</c:v>
                </c:pt>
                <c:pt idx="11">
                  <c:v>733.44093366398499</c:v>
                </c:pt>
                <c:pt idx="12">
                  <c:v>733.44093366398499</c:v>
                </c:pt>
                <c:pt idx="13">
                  <c:v>733.44093366398499</c:v>
                </c:pt>
                <c:pt idx="14">
                  <c:v>733.44093366398499</c:v>
                </c:pt>
                <c:pt idx="15">
                  <c:v>733.44093366398499</c:v>
                </c:pt>
                <c:pt idx="16">
                  <c:v>733.44093366398499</c:v>
                </c:pt>
                <c:pt idx="17">
                  <c:v>733.44093366398499</c:v>
                </c:pt>
                <c:pt idx="18">
                  <c:v>733.44093366398499</c:v>
                </c:pt>
                <c:pt idx="19">
                  <c:v>733.44093366398499</c:v>
                </c:pt>
                <c:pt idx="20">
                  <c:v>733.44093366398499</c:v>
                </c:pt>
                <c:pt idx="21">
                  <c:v>733.44093366398499</c:v>
                </c:pt>
                <c:pt idx="22">
                  <c:v>733.44093366398499</c:v>
                </c:pt>
                <c:pt idx="23">
                  <c:v>733.44093366398499</c:v>
                </c:pt>
                <c:pt idx="24">
                  <c:v>733.44093366398499</c:v>
                </c:pt>
                <c:pt idx="25">
                  <c:v>733.44093366398499</c:v>
                </c:pt>
                <c:pt idx="26">
                  <c:v>733.44093366398499</c:v>
                </c:pt>
                <c:pt idx="27">
                  <c:v>733.44093366398499</c:v>
                </c:pt>
                <c:pt idx="28">
                  <c:v>733.44093366398499</c:v>
                </c:pt>
                <c:pt idx="29">
                  <c:v>733.44093366398499</c:v>
                </c:pt>
                <c:pt idx="30">
                  <c:v>733.44093366398499</c:v>
                </c:pt>
                <c:pt idx="31">
                  <c:v>733.44093366398499</c:v>
                </c:pt>
                <c:pt idx="32">
                  <c:v>733.44093366398499</c:v>
                </c:pt>
                <c:pt idx="33">
                  <c:v>733.44093366398499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33-4623-91C7-B943BB808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orientation val="minMax"/>
          <c:max val="14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8</xdr:col>
      <xdr:colOff>195072</xdr:colOff>
      <xdr:row>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A15802-01CD-4361-B78D-9FAB59F61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10</xdr:row>
      <xdr:rowOff>0</xdr:rowOff>
    </xdr:from>
    <xdr:to>
      <xdr:col>15</xdr:col>
      <xdr:colOff>542925</xdr:colOff>
      <xdr:row>27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75200B-6CC3-4C0C-950B-D672708A9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10</xdr:row>
      <xdr:rowOff>0</xdr:rowOff>
    </xdr:from>
    <xdr:to>
      <xdr:col>24</xdr:col>
      <xdr:colOff>190500</xdr:colOff>
      <xdr:row>27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BF077F-C0D4-4B79-9F17-F9B25B808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EAED8-68C3-4E29-B4A9-90D7CA2F3630}">
  <sheetPr codeName="Sheet1"/>
  <dimension ref="B2:AF229"/>
  <sheetViews>
    <sheetView tabSelected="1" workbookViewId="0"/>
  </sheetViews>
  <sheetFormatPr defaultRowHeight="15" x14ac:dyDescent="0.25"/>
  <cols>
    <col min="10" max="10" width="10.140625" bestFit="1" customWidth="1"/>
    <col min="13" max="13" width="12" bestFit="1" customWidth="1"/>
  </cols>
  <sheetData>
    <row r="2" spans="4:15" x14ac:dyDescent="0.25">
      <c r="E2" t="s">
        <v>31</v>
      </c>
      <c r="F2" t="s">
        <v>32</v>
      </c>
      <c r="H2" t="s">
        <v>29</v>
      </c>
      <c r="I2">
        <f ca="1">4*telf</f>
        <v>92</v>
      </c>
    </row>
    <row r="3" spans="4:15" x14ac:dyDescent="0.25">
      <c r="D3" t="s">
        <v>0</v>
      </c>
      <c r="E3" s="2">
        <f ca="1">RANDBETWEEN(200, 1500)</f>
        <v>1147</v>
      </c>
      <c r="F3" s="2" cm="1">
        <f t="array" aca="1" ref="F3" ca="1">thm_rate(-I2,thm_rate(I2,qi,Di,bi,bf,telf),thm_D_eff(I2,1,Di,bi,bf,telf),F5,F6,F7)</f>
        <v>1027.356356601292</v>
      </c>
      <c r="H3" t="s">
        <v>33</v>
      </c>
      <c r="I3" cm="1">
        <f t="array" aca="1" ref="I3" ca="1">$N$4/thm_cum($N$3,qi,Di,bi,bf,telf,bterm,tterm)</f>
        <v>0.86960278076537723</v>
      </c>
      <c r="L3" t="s">
        <v>17</v>
      </c>
      <c r="N3" s="2">
        <f>MAX(U30:U130)</f>
        <v>1019.65625</v>
      </c>
    </row>
    <row r="4" spans="4:15" x14ac:dyDescent="0.25">
      <c r="D4" t="s">
        <v>1</v>
      </c>
      <c r="E4" s="1">
        <f ca="1">RANDBETWEEN(60, 95) / 100</f>
        <v>0.67</v>
      </c>
      <c r="F4" s="3" cm="1">
        <f t="array" aca="1" ref="F4" ca="1">thm_D_eff(-I2,1,thm_D_eff(I2,1,Di,bi,bf,telf),F5,F6,F7)</f>
        <v>0.69821276809938904</v>
      </c>
      <c r="L4" t="s">
        <v>18</v>
      </c>
      <c r="N4" s="2">
        <f ca="1">SUM(Z30:Z130)</f>
        <v>285.27439128294014</v>
      </c>
    </row>
    <row r="5" spans="4:15" x14ac:dyDescent="0.25">
      <c r="D5" t="s">
        <v>2</v>
      </c>
      <c r="E5" s="2">
        <v>2</v>
      </c>
      <c r="F5" s="2">
        <f ca="1">F6</f>
        <v>1</v>
      </c>
      <c r="H5" t="s">
        <v>35</v>
      </c>
      <c r="I5">
        <v>1</v>
      </c>
      <c r="L5" s="4" t="s">
        <v>26</v>
      </c>
      <c r="N5">
        <v>0.2</v>
      </c>
      <c r="O5">
        <v>0.1</v>
      </c>
    </row>
    <row r="6" spans="4:15" x14ac:dyDescent="0.25">
      <c r="D6" t="s">
        <v>3</v>
      </c>
      <c r="E6" s="2">
        <f ca="1">RANDBETWEEN(50, 130) / 100</f>
        <v>1</v>
      </c>
      <c r="F6" s="2">
        <f ca="1">bf</f>
        <v>1</v>
      </c>
      <c r="H6" t="s">
        <v>36</v>
      </c>
      <c r="I6" cm="1">
        <f t="array" aca="1" ref="I6" ca="1">thm_cum_qf(I5,qi,Di,bi,bf,telf,bterm,tterm)</f>
        <v>733.44093366398499</v>
      </c>
      <c r="J6" cm="1">
        <f t="array" aca="1" ref="J6" ca="1">thm_eur_qf(I5,N3,N4,qi,Di,bi,bf,telf,bterm,tterm)</f>
        <v>690.6639460957017</v>
      </c>
      <c r="L6" t="s">
        <v>30</v>
      </c>
      <c r="N6">
        <v>0.3</v>
      </c>
      <c r="O6">
        <v>10</v>
      </c>
    </row>
    <row r="7" spans="4:15" x14ac:dyDescent="0.25">
      <c r="D7" t="s">
        <v>4</v>
      </c>
      <c r="E7" s="2">
        <f ca="1">RANDBETWEEN(10, 100)</f>
        <v>23</v>
      </c>
      <c r="F7" s="2">
        <v>1</v>
      </c>
      <c r="L7" t="s">
        <v>24</v>
      </c>
      <c r="N7">
        <v>0.2</v>
      </c>
    </row>
    <row r="8" spans="4:15" x14ac:dyDescent="0.25">
      <c r="D8" t="s">
        <v>5</v>
      </c>
      <c r="E8" s="2">
        <v>0.3</v>
      </c>
      <c r="F8" s="2">
        <f>bterm</f>
        <v>0.3</v>
      </c>
      <c r="H8" t="s">
        <v>38</v>
      </c>
      <c r="I8">
        <f>30*DaysPerYear</f>
        <v>10957.5</v>
      </c>
      <c r="L8" t="s">
        <v>23</v>
      </c>
      <c r="N8">
        <v>0.8</v>
      </c>
    </row>
    <row r="9" spans="4:15" x14ac:dyDescent="0.25">
      <c r="D9" t="s">
        <v>6</v>
      </c>
      <c r="E9" s="2">
        <v>10</v>
      </c>
      <c r="F9" s="2">
        <f>tterm</f>
        <v>10</v>
      </c>
      <c r="H9" t="s">
        <v>37</v>
      </c>
      <c r="I9" cm="1">
        <f t="array" aca="1" ref="I9" ca="1">thm_cum(I8,qi,Di,bi,bf,telf,bterm,tterm)</f>
        <v>669.95015978432571</v>
      </c>
      <c r="J9" cm="1">
        <f t="array" aca="1" ref="J9" ca="1">thm_eur_t(I8,N3,N4,qi,Di,bi,bf,telf,bterm,tterm)</f>
        <v>627.17317221604242</v>
      </c>
    </row>
    <row r="10" spans="4:15" x14ac:dyDescent="0.25">
      <c r="E10" s="2"/>
      <c r="F10" s="2"/>
    </row>
    <row r="11" spans="4:15" x14ac:dyDescent="0.25">
      <c r="E11" s="2"/>
      <c r="F11" s="2"/>
    </row>
    <row r="12" spans="4:15" x14ac:dyDescent="0.25">
      <c r="E12" s="2"/>
      <c r="F12" s="2"/>
    </row>
    <row r="13" spans="4:15" x14ac:dyDescent="0.25">
      <c r="E13" s="2"/>
      <c r="F13" s="2"/>
    </row>
    <row r="14" spans="4:15" x14ac:dyDescent="0.25">
      <c r="E14" s="2"/>
      <c r="F14" s="2"/>
    </row>
    <row r="15" spans="4:15" x14ac:dyDescent="0.25">
      <c r="E15" s="2"/>
      <c r="F15" s="2"/>
    </row>
    <row r="16" spans="4:15" x14ac:dyDescent="0.25">
      <c r="E16" s="2"/>
      <c r="F16" s="2"/>
    </row>
    <row r="17" spans="2:32" x14ac:dyDescent="0.25">
      <c r="E17" s="2"/>
      <c r="F17" s="2"/>
    </row>
    <row r="18" spans="2:32" x14ac:dyDescent="0.25">
      <c r="E18" s="2"/>
      <c r="F18" s="2"/>
    </row>
    <row r="19" spans="2:32" x14ac:dyDescent="0.25">
      <c r="E19" s="2"/>
      <c r="F19" s="2"/>
    </row>
    <row r="20" spans="2:32" x14ac:dyDescent="0.25">
      <c r="E20" s="2"/>
      <c r="F20" s="2"/>
    </row>
    <row r="21" spans="2:32" x14ac:dyDescent="0.25">
      <c r="E21" s="2"/>
      <c r="F21" s="2"/>
    </row>
    <row r="22" spans="2:32" x14ac:dyDescent="0.25">
      <c r="E22" s="2"/>
      <c r="F22" s="2"/>
    </row>
    <row r="23" spans="2:32" x14ac:dyDescent="0.25">
      <c r="E23" s="2"/>
      <c r="F23" s="2"/>
    </row>
    <row r="24" spans="2:32" x14ac:dyDescent="0.25">
      <c r="E24" s="2"/>
      <c r="F24" s="2"/>
    </row>
    <row r="25" spans="2:32" x14ac:dyDescent="0.25">
      <c r="E25" s="2"/>
      <c r="F25" s="2"/>
    </row>
    <row r="29" spans="2:32" s="6" customFormat="1" x14ac:dyDescent="0.25">
      <c r="B29" s="6" t="s">
        <v>12</v>
      </c>
      <c r="C29" s="6" t="s">
        <v>7</v>
      </c>
      <c r="D29" s="6" t="s">
        <v>8</v>
      </c>
      <c r="E29" s="6" t="s">
        <v>9</v>
      </c>
      <c r="F29" s="6" t="s">
        <v>10</v>
      </c>
      <c r="G29" s="6" t="s">
        <v>11</v>
      </c>
      <c r="H29" s="6" t="s">
        <v>33</v>
      </c>
      <c r="J29" s="6" t="s">
        <v>8</v>
      </c>
      <c r="K29" s="6" t="s">
        <v>9</v>
      </c>
      <c r="L29" s="6" t="s">
        <v>13</v>
      </c>
      <c r="M29" s="6" t="s">
        <v>10</v>
      </c>
      <c r="N29" s="6" t="s">
        <v>34</v>
      </c>
      <c r="O29" s="6" t="s">
        <v>11</v>
      </c>
      <c r="Q29" s="6" t="s">
        <v>28</v>
      </c>
      <c r="U29" s="6" t="s">
        <v>19</v>
      </c>
      <c r="V29" s="6" t="s">
        <v>22</v>
      </c>
      <c r="W29" s="6" t="s">
        <v>20</v>
      </c>
      <c r="X29" s="6" t="s">
        <v>21</v>
      </c>
      <c r="Y29" s="6" t="s">
        <v>27</v>
      </c>
      <c r="Z29" s="6" t="s">
        <v>25</v>
      </c>
      <c r="AA29" s="6" t="s">
        <v>18</v>
      </c>
      <c r="AB29" s="6" t="s">
        <v>16</v>
      </c>
      <c r="AC29" s="6" t="s">
        <v>39</v>
      </c>
      <c r="AD29" s="6" t="s">
        <v>40</v>
      </c>
      <c r="AE29" s="6" t="s">
        <v>14</v>
      </c>
      <c r="AF29" s="6" t="s">
        <v>15</v>
      </c>
    </row>
    <row r="30" spans="2:32" x14ac:dyDescent="0.25">
      <c r="B30" cm="1">
        <f t="array" ref="B30">log_interval</f>
        <v>5.7564627324851146E-2</v>
      </c>
      <c r="C30">
        <f>EXP(B30)</f>
        <v>1.0592537251772889</v>
      </c>
      <c r="D30" cm="1">
        <f t="array" aca="1" ref="D30:G229" ca="1">thm_array(ModelTime,qi,Di,bi,bf,telf,bterm,tterm)</f>
        <v>1133.6280409086728</v>
      </c>
      <c r="E30">
        <f ca="1"/>
        <v>1.0941898141700039E-2</v>
      </c>
      <c r="F30">
        <f ca="1"/>
        <v>2</v>
      </c>
      <c r="G30">
        <f ca="1"/>
        <v>1.207840349422322</v>
      </c>
      <c r="H30">
        <f ca="1">$I$3*G30</f>
        <v>1.0503413265782762</v>
      </c>
      <c r="J30" s="5" cm="1">
        <f t="array" aca="1" ref="J30" ca="1">thm_rate($C30,qi,Di,bi,bf,telf,bterm,tterm)</f>
        <v>1133.6280409086728</v>
      </c>
      <c r="K30" s="5" cm="1">
        <f t="array" aca="1" ref="K30" ca="1">thm_D($C30,qi,Di,bi,bf,telf,bterm,tterm)</f>
        <v>1.0941898141700039E-2</v>
      </c>
      <c r="L30" s="3" cm="1">
        <f t="array" aca="1" ref="L30" ca="1">thm_D_eff($C30,qi,Di,bi,bf,telf,bterm,tterm)</f>
        <v>0.66653801059910323</v>
      </c>
      <c r="M30" cm="1">
        <f t="array" aca="1" ref="M30" ca="1">thm_b(C30,qi,Di,bi,bf,telf,bterm,tterm)</f>
        <v>2</v>
      </c>
      <c r="N30" cm="1">
        <f t="array" aca="1" ref="N30" ca="1">thm_monthly_vol($C30,qi,Di,bi,bf,telf,bterm,tterm)</f>
        <v>34.707114793850494</v>
      </c>
      <c r="O30" cm="1">
        <f t="array" aca="1" ref="O30" ca="1">thm_cum($C30,qi,Di,bi,bf,telf,bterm,tterm)</f>
        <v>1.207840349422322</v>
      </c>
      <c r="P30" t="e" cm="1">
        <f t="array" ref="P30">thm</f>
        <v>#NAME?</v>
      </c>
      <c r="Q30" cm="1">
        <f t="array" aca="1" ref="Q30" ca="1">thm_rate(C30,$F$3,$F$4,$F$5,$F$6,$F$7,$F$8,$F$9)</f>
        <v>1020.5091473191668</v>
      </c>
      <c r="U30" s="2" cm="1">
        <f t="array" ref="U30">DaysPerMonth/2</f>
        <v>15.21875</v>
      </c>
      <c r="V30" s="2">
        <f ca="1">RAND()</f>
        <v>0.3651558391728823</v>
      </c>
      <c r="W30" s="2" t="b">
        <f ca="1">V30&lt;$N$7</f>
        <v>0</v>
      </c>
      <c r="X30" s="2">
        <f t="shared" ref="X30:X31" ca="1" si="0">MAX(0, IF(W30,_xlfn.LOGNORM.INV(RAND(),LN($N$6)-LN($O$6)/(2*_xlfn.NORM.S.INV(0.9)),LN($O$6)/(2*_xlfn.NORM.S.INV(0.9))),(RANDBETWEEN(RANDBETWEEN((1-$N$5-$O$5)*1000, (1-$N$5+$O$5)*1000),RANDBETWEEN((1+$N$5-$O$5)*1000, (1+$N$5+$O$5)*1000)))/1000))</f>
        <v>0.91100000000000003</v>
      </c>
      <c r="Y30" s="2">
        <f ca="1">(RANDBETWEEN(0.2*1000,0.5*1000)/1000)</f>
        <v>0.34899999999999998</v>
      </c>
      <c r="Z30" s="2" cm="1">
        <f t="array" aca="1" ref="Z30" ca="1">thm_monthly_vol(U30,qi,Di,bi,bf,telf,bterm,tterm)*X30*Y30</f>
        <v>10.287176763011702</v>
      </c>
      <c r="AA30" s="2">
        <f ca="1">Z30</f>
        <v>10.287176763011702</v>
      </c>
      <c r="AB30" s="2" cm="1">
        <f t="array" aca="1" ref="AB30" ca="1">MAX(1, Z30*1000 / DaysPerMonth * X30)</f>
        <v>307.89710163790267</v>
      </c>
      <c r="AC30" s="2" cm="1">
        <f t="array" aca="1" ref="AC30" ca="1">thm_cum($I$8,qi,Di,bi,bf,telf,bterm,tterm)</f>
        <v>669.95015978432571</v>
      </c>
      <c r="AD30" cm="1">
        <f t="array" aca="1" ref="AD30" ca="1">thm_cum_qf($I$5,qi,Di,bi,bf,telf,bterm,tterm)</f>
        <v>733.44093366398499</v>
      </c>
      <c r="AE30" s="2" cm="1">
        <f t="array" aca="1" ref="AE30" ca="1">thm_eur_t($I$8,U30+DaysPerMonth/2,AA30,qi,Di,bi,bf,telf,bterm,tterm)</f>
        <v>649.83798590229753</v>
      </c>
      <c r="AF30" cm="1">
        <f t="array" aca="1" ref="AF30" ca="1">thm_eur_qf($I$5,U30+DaysPerMonth/2,AA30,qi,Di,bi,bf,telf,bterm,tterm)</f>
        <v>713.32875978195682</v>
      </c>
    </row>
    <row r="31" spans="2:32" x14ac:dyDescent="0.25">
      <c r="B31" cm="1">
        <f t="array" ref="B31">B30+log_interval</f>
        <v>0.11512925464970229</v>
      </c>
      <c r="C31">
        <f t="shared" ref="C31:C94" si="1">EXP(B31)</f>
        <v>1.1220184543019633</v>
      </c>
      <c r="D31">
        <f ca="1"/>
        <v>1132.8503056284396</v>
      </c>
      <c r="E31">
        <f ca="1"/>
        <v>1.0926889724890705E-2</v>
      </c>
      <c r="F31">
        <f ca="1"/>
        <v>2</v>
      </c>
      <c r="G31">
        <f ca="1"/>
        <v>1.2789677907907493</v>
      </c>
      <c r="H31">
        <f t="shared" ref="H31:H94" ca="1" si="2">$I$3*G31</f>
        <v>1.1121939473809868</v>
      </c>
      <c r="J31" s="5" cm="1">
        <f t="array" aca="1" ref="J31" ca="1">thm_rate($C31,qi,Di,bi,bf,telf,bterm,tterm)</f>
        <v>1132.8503056284396</v>
      </c>
      <c r="K31" s="5" cm="1">
        <f t="array" aca="1" ref="K31" ca="1">thm_D($C31,qi,Di,bi,bf,telf,bterm,tterm)</f>
        <v>1.0926889724890705E-2</v>
      </c>
      <c r="L31" s="3" cm="1">
        <f t="array" aca="1" ref="L31" ca="1">thm_D_eff(C31,qi,Di,bi,bf,telf,bterm,tterm)</f>
        <v>0.66633455884742754</v>
      </c>
      <c r="M31" cm="1">
        <f t="array" aca="1" ref="M31" ca="1">thm_b(C31,qi,Di,bi,bf,telf,bterm,tterm)</f>
        <v>2</v>
      </c>
      <c r="N31" cm="1">
        <f t="array" aca="1" ref="N31" ca="1">thm_monthly_vol(C31,qi,Di,bi,bf,telf,bterm,tterm)</f>
        <v>34.695135345533963</v>
      </c>
      <c r="O31" cm="1">
        <f t="array" aca="1" ref="O31" ca="1">thm_cum($C31,qi,Di,bi,bf,telf,bterm,tterm)</f>
        <v>1.2789677907907493</v>
      </c>
      <c r="Q31" cm="1">
        <f t="array" aca="1" ref="Q31" ca="1">thm_rate(C31,$F$3,$F$4,$F$5,$F$6,$F$7,$F$8,$F$9)</f>
        <v>1020.1062878528231</v>
      </c>
      <c r="U31" s="2" cm="1">
        <f t="array" ref="U31">DaysPerMonth+U30</f>
        <v>45.65625</v>
      </c>
      <c r="V31" s="2">
        <f ca="1">IF(W30, _xlfn.NORM.S.DIST((_xlfn.NORM.S.INV(V30)*$N$8+SQRT(1-$N$8^2)*RAND()), TRUE), RAND())</f>
        <v>0.80398597580769504</v>
      </c>
      <c r="W31" s="2" t="b">
        <f ca="1">V31&lt;$N$7</f>
        <v>0</v>
      </c>
      <c r="X31" s="2">
        <f t="shared" ca="1" si="0"/>
        <v>1.1639999999999999</v>
      </c>
      <c r="Y31" s="2">
        <f ca="1">(RANDBETWEEN(0.4*1000,0.8*1000)/1000)</f>
        <v>0.52800000000000002</v>
      </c>
      <c r="Z31" s="2" cm="1">
        <f t="array" aca="1" ref="Z31" ca="1">thm_monthly_vol(U31,qi,Di,bi,bf,telf,bterm,tterm)*X31*Y31</f>
        <v>16.631055697767223</v>
      </c>
      <c r="AA31" s="2">
        <f ca="1">Z31+AA30</f>
        <v>26.918232460778924</v>
      </c>
      <c r="AB31" s="2" cm="1">
        <f t="array" aca="1" ref="AB31" ca="1">MAX(1, Z31*1000 / DaysPerMonth * X31)</f>
        <v>636.00981789572222</v>
      </c>
      <c r="AC31" s="2" cm="1">
        <f t="array" aca="1" ref="AC31" ca="1">thm_cum($I$8,qi,Di,bi,bf,telf,bterm,tterm)</f>
        <v>669.95015978432571</v>
      </c>
      <c r="AD31" cm="1">
        <f t="array" aca="1" ref="AD31" ca="1">thm_cum_qf($I$5,qi,Di,bi,bf,telf,bterm,tterm)</f>
        <v>733.44093366398499</v>
      </c>
      <c r="AE31" s="2" cm="1">
        <f t="array" aca="1" ref="AE31" ca="1">thm_eur_t($I$8,U31+DaysPerMonth/2,AA31,qi,Di,bi,bf,telf,bterm,tterm)</f>
        <v>641.84724391989641</v>
      </c>
      <c r="AF31" cm="1">
        <f t="array" aca="1" ref="AF31" ca="1">thm_eur_qf($I$5,U31+DaysPerMonth/2,AA31,qi,Di,bi,bf,telf,bterm,tterm)</f>
        <v>705.3380177995557</v>
      </c>
    </row>
    <row r="32" spans="2:32" x14ac:dyDescent="0.25">
      <c r="B32" cm="1">
        <f t="array" ref="B32">B31+log_interval</f>
        <v>0.17269388197455343</v>
      </c>
      <c r="C32">
        <f t="shared" si="1"/>
        <v>1.1885022274370185</v>
      </c>
      <c r="D32">
        <f ca="1"/>
        <v>1132.0282299242951</v>
      </c>
      <c r="E32">
        <f ca="1"/>
        <v>1.0911036842528128E-2</v>
      </c>
      <c r="F32">
        <f ca="1"/>
        <v>2</v>
      </c>
      <c r="G32">
        <f ca="1"/>
        <v>1.3542566162399094</v>
      </c>
      <c r="H32">
        <f t="shared" ca="1" si="2"/>
        <v>1.1776653193521356</v>
      </c>
      <c r="J32" s="5" cm="1">
        <f t="array" aca="1" ref="J32" ca="1">thm_rate($C32,qi,Di,bi,bf,telf,bterm,tterm)</f>
        <v>1132.0282299242951</v>
      </c>
      <c r="K32" s="5" cm="1">
        <f t="array" aca="1" ref="K32" ca="1">thm_D($C32,qi,Di,bi,bf,telf,bterm,tterm)</f>
        <v>1.0911036842528128E-2</v>
      </c>
      <c r="L32" s="3" cm="1">
        <f t="array" aca="1" ref="L32" ca="1">thm_D_eff(C32,qi,Di,bi,bf,telf,bterm,tterm)</f>
        <v>0.6661192547267647</v>
      </c>
      <c r="M32" cm="1">
        <f t="array" aca="1" ref="M32" ca="1">thm_b(C32,qi,Di,bi,bf,telf,bterm,tterm)</f>
        <v>2</v>
      </c>
      <c r="N32" cm="1">
        <f t="array" aca="1" ref="N32" ca="1">thm_monthly_vol(C32,qi,Di,bi,bf,telf,bterm,tterm)</f>
        <v>34.682464033485871</v>
      </c>
      <c r="O32" cm="1">
        <f t="array" aca="1" ref="O32" ca="1">thm_cum($C32,qi,Di,bi,bf,telf,bterm,tterm)</f>
        <v>1.3542566162399094</v>
      </c>
      <c r="Q32" cm="1">
        <f t="array" aca="1" ref="Q32" ca="1">thm_rate(C32,$F$3,$F$4,$F$5,$F$6,$F$7,$F$8,$F$9)</f>
        <v>1019.6799042140291</v>
      </c>
      <c r="U32" s="2" cm="1">
        <f t="array" ref="U32">DaysPerMonth+U31</f>
        <v>76.09375</v>
      </c>
      <c r="V32" s="2">
        <f ca="1">IF(W31, _xlfn.NORM.S.DIST((_xlfn.NORM.S.INV(V31)*$N$8+SQRT(1-$N$8^2)*RAND()), TRUE), RAND())</f>
        <v>0.54451605905963907</v>
      </c>
      <c r="W32" s="2" t="b">
        <f ca="1">V32&lt;$N$7</f>
        <v>0</v>
      </c>
      <c r="X32" s="2">
        <f ca="1">MAX(0, IF(W32,_xlfn.LOGNORM.INV(RAND(),LN($N$6)-LN($O$6)/(2*_xlfn.NORM.S.INV(0.9)),LN($O$6)/(2*_xlfn.NORM.S.INV(0.9))),(RANDBETWEEN(RANDBETWEEN((1-$N$5-$O$5)*1000, (1-$N$5+$O$5)*1000),RANDBETWEEN((1+$N$5-$O$5)*1000, (1+$N$5+$O$5)*1000)))/1000))</f>
        <v>1.153</v>
      </c>
      <c r="Y32" s="2">
        <f ca="1">(RANDBETWEEN(0.6*1000,1*1000)/1000)</f>
        <v>0.89800000000000002</v>
      </c>
      <c r="Z32" s="2" cm="1">
        <f t="array" aca="1" ref="Z32" ca="1">thm_monthly_vol(U32,qi,Di,bi,bf,telf,bterm,tterm)*X32*Y32</f>
        <v>23.516670078095572</v>
      </c>
      <c r="AA32" s="2">
        <f t="shared" ref="AA32:AA63" ca="1" si="3">Z32+AA31</f>
        <v>50.434902538874496</v>
      </c>
      <c r="AB32" s="2" cm="1">
        <f t="array" aca="1" ref="AB32" ca="1">MAX(1, Z32*1000 / DaysPerMonth * X32)</f>
        <v>890.83270965237602</v>
      </c>
      <c r="AC32" s="2" cm="1">
        <f t="array" aca="1" ref="AC32" ca="1">thm_cum($I$8,qi,Di,bi,bf,telf,bterm,tterm)</f>
        <v>669.95015978432571</v>
      </c>
      <c r="AD32" cm="1">
        <f t="array" aca="1" ref="AD32" ca="1">thm_cum_qf($I$5,qi,Di,bi,bf,telf,bterm,tterm)</f>
        <v>733.44093366398499</v>
      </c>
      <c r="AE32" s="2" cm="1">
        <f t="array" aca="1" ref="AE32" ca="1">thm_eur_t($I$8,U32+DaysPerMonth/2,AA32,qi,Di,bi,bf,telf,bterm,tterm)</f>
        <v>644.21191904597447</v>
      </c>
      <c r="AF32" cm="1">
        <f t="array" aca="1" ref="AF32" ca="1">thm_eur_qf($I$5,U32+DaysPerMonth/2,AA32,qi,Di,bi,bf,telf,bterm,tterm)</f>
        <v>707.70269292563376</v>
      </c>
    </row>
    <row r="33" spans="2:32" x14ac:dyDescent="0.25">
      <c r="B33" cm="1">
        <f t="array" ref="B33">B32+log_interval</f>
        <v>0.23025850929940458</v>
      </c>
      <c r="C33">
        <f t="shared" si="1"/>
        <v>1.2589254117941673</v>
      </c>
      <c r="D33">
        <f ca="1"/>
        <v>1131.1593920802823</v>
      </c>
      <c r="E33">
        <f ca="1"/>
        <v>1.0894294709196322E-2</v>
      </c>
      <c r="F33">
        <f ca="1"/>
        <v>2</v>
      </c>
      <c r="G33">
        <f ca="1"/>
        <v>1.4339470440647943</v>
      </c>
      <c r="H33">
        <f t="shared" ca="1" si="2"/>
        <v>1.246964336989038</v>
      </c>
      <c r="J33" s="5" cm="1">
        <f t="array" aca="1" ref="J33" ca="1">thm_rate($C33,qi,Di,bi,bf,telf,bterm,tterm)</f>
        <v>1131.1593920802823</v>
      </c>
      <c r="K33" s="5" cm="1">
        <f t="array" aca="1" ref="K33" ca="1">thm_D($C33,qi,Di,bi,bf,telf,bterm,tterm)</f>
        <v>1.0894294709196322E-2</v>
      </c>
      <c r="L33" s="3" cm="1">
        <f t="array" aca="1" ref="L33" ca="1">thm_D_eff(C33,qi,Di,bi,bf,telf,bterm,tterm)</f>
        <v>0.66589142022081416</v>
      </c>
      <c r="M33" cm="1">
        <f t="array" aca="1" ref="M33" ca="1">thm_b(C33,qi,Di,bi,bf,telf,bterm,tterm)</f>
        <v>2</v>
      </c>
      <c r="N33" cm="1">
        <f t="array" aca="1" ref="N33" ca="1">thm_monthly_vol(C33,qi,Di,bi,bf,telf,bterm,tterm)</f>
        <v>34.669061999090225</v>
      </c>
      <c r="O33" cm="1">
        <f t="array" aca="1" ref="O33" ca="1">thm_cum($C33,qi,Di,bi,bf,telf,bterm,tterm)</f>
        <v>1.4339470440647943</v>
      </c>
      <c r="Q33" cm="1">
        <f t="array" aca="1" ref="Q33" ca="1">thm_rate(C33,$F$3,$F$4,$F$5,$F$6,$F$7,$F$8,$F$9)</f>
        <v>1019.2286443298531</v>
      </c>
      <c r="U33" s="2" cm="1">
        <f t="array" ref="U33">DaysPerMonth+U32</f>
        <v>106.53125</v>
      </c>
      <c r="V33" s="2">
        <f ca="1">IF(W32, _xlfn.NORM.S.DIST((_xlfn.NORM.S.INV(V32)*$N$8+SQRT(1-$N$8^2)*RAND()), TRUE), RAND())</f>
        <v>0.87621912032857785</v>
      </c>
      <c r="W33" s="2" t="b">
        <f ca="1">V33&lt;$N$7</f>
        <v>0</v>
      </c>
      <c r="X33" s="2">
        <f t="shared" ref="X33:X63" ca="1" si="4">MAX(0, IF(W33,_xlfn.LOGNORM.INV(RAND(),LN($N$6)-LN($O$6)/(2*_xlfn.NORM.S.INV(0.9)),LN($O$6)/(2*_xlfn.NORM.S.INV(0.9))),(RANDBETWEEN(RANDBETWEEN((1-$N$5-$O$5)*1000, (1-$N$5+$O$5)*1000),RANDBETWEEN((1+$N$5-$O$5)*1000, (1+$N$5+$O$5)*1000)))/1000))</f>
        <v>1.198</v>
      </c>
      <c r="Y33" s="2">
        <v>1</v>
      </c>
      <c r="Z33" s="2" cm="1">
        <f t="array" aca="1" ref="Z33" ca="1">thm_monthly_vol(U33,qi,Di,bi,bf,telf,bterm,tterm)*X33*Y33</f>
        <v>23.764833754797234</v>
      </c>
      <c r="AA33" s="2">
        <f t="shared" ca="1" si="3"/>
        <v>74.199736293671734</v>
      </c>
      <c r="AB33" s="2" cm="1">
        <f t="array" aca="1" ref="AB33" ca="1">MAX(1, Z33*1000 / DaysPerMonth * X33)</f>
        <v>935.36824109230668</v>
      </c>
      <c r="AC33" s="2" cm="1">
        <f t="array" aca="1" ref="AC33" ca="1">thm_cum($I$8,qi,Di,bi,bf,telf,bterm,tterm)</f>
        <v>669.95015978432571</v>
      </c>
      <c r="AD33" cm="1">
        <f t="array" aca="1" ref="AD33" ca="1">thm_cum_qf($I$5,qi,Di,bi,bf,telf,bterm,tterm)</f>
        <v>733.44093366398499</v>
      </c>
      <c r="AE33" s="2" cm="1">
        <f t="array" aca="1" ref="AE33" ca="1">thm_eur_t($I$8,U33+DaysPerMonth/2,AA33,qi,Di,bi,bf,telf,bterm,tterm)</f>
        <v>649.28508798804091</v>
      </c>
      <c r="AF33" cm="1">
        <f t="array" aca="1" ref="AF33" ca="1">thm_eur_qf($I$5,U33+DaysPerMonth/2,AA33,qi,Di,bi,bf,telf,bterm,tterm)</f>
        <v>712.77586186770009</v>
      </c>
    </row>
    <row r="34" spans="2:32" x14ac:dyDescent="0.25">
      <c r="B34" cm="1">
        <f t="array" ref="B34">B33+log_interval</f>
        <v>0.28782313662425574</v>
      </c>
      <c r="C34">
        <f t="shared" si="1"/>
        <v>1.333521432163324</v>
      </c>
      <c r="D34">
        <f ca="1"/>
        <v>1130.2412506808921</v>
      </c>
      <c r="E34">
        <f ca="1"/>
        <v>1.0876616486948838E-2</v>
      </c>
      <c r="F34">
        <f ca="1"/>
        <v>2</v>
      </c>
      <c r="G34">
        <f ca="1"/>
        <v>1.5182927743663175</v>
      </c>
      <c r="H34">
        <f t="shared" ca="1" si="2"/>
        <v>1.3203116186049291</v>
      </c>
      <c r="J34" s="5" cm="1">
        <f t="array" aca="1" ref="J34" ca="1">thm_rate($C34,qi,Di,bi,bf,telf,bterm,tterm)</f>
        <v>1130.2412506808921</v>
      </c>
      <c r="K34" s="5" cm="1">
        <f t="array" aca="1" ref="K34" ca="1">thm_D($C34,qi,Di,bi,bf,telf,bterm,tterm)</f>
        <v>1.0876616486948838E-2</v>
      </c>
      <c r="L34" s="3" cm="1">
        <f t="array" aca="1" ref="L34" ca="1">thm_D_eff(C34,qi,Di,bi,bf,telf,bterm,tterm)</f>
        <v>0.66565034001303247</v>
      </c>
      <c r="M34" cm="1">
        <f t="array" aca="1" ref="M34" ca="1">thm_b(C34,qi,Di,bi,bf,telf,bterm,tterm)</f>
        <v>2</v>
      </c>
      <c r="N34" cm="1">
        <f t="array" aca="1" ref="N34" ca="1">thm_monthly_vol(C34,qi,Di,bi,bf,telf,bterm,tterm)</f>
        <v>34.654888331869579</v>
      </c>
      <c r="O34" cm="1">
        <f t="array" aca="1" ref="O34" ca="1">thm_cum($C34,qi,Di,bi,bf,telf,bterm,tterm)</f>
        <v>1.5182927743663175</v>
      </c>
      <c r="Q34" cm="1">
        <f t="array" aca="1" ref="Q34" ca="1">thm_rate(C34,$F$3,$F$4,$F$5,$F$6,$F$7,$F$8,$F$9)</f>
        <v>1018.7510810240284</v>
      </c>
      <c r="U34" s="2" cm="1">
        <f t="array" ref="U34">DaysPerMonth+U33</f>
        <v>136.96875</v>
      </c>
      <c r="V34" s="2">
        <f ca="1">IF(W33, _xlfn.NORM.S.DIST((_xlfn.NORM.S.INV(V33)*$N$8+SQRT(1-$N$8^2)*RAND()), TRUE), RAND())</f>
        <v>0.41845902447427574</v>
      </c>
      <c r="W34" s="2" t="b">
        <f ca="1">V34&lt;$N$7</f>
        <v>0</v>
      </c>
      <c r="X34" s="2">
        <f t="shared" ca="1" si="4"/>
        <v>1.2050000000000001</v>
      </c>
      <c r="Y34" s="2">
        <v>1</v>
      </c>
      <c r="Z34" s="2" cm="1">
        <f t="array" aca="1" ref="Z34" ca="1">thm_monthly_vol(U34,qi,Di,bi,bf,telf,bterm,tterm)*X34*Y34</f>
        <v>21.295090948155199</v>
      </c>
      <c r="AA34" s="2">
        <f t="shared" ca="1" si="3"/>
        <v>95.494827241826926</v>
      </c>
      <c r="AB34" s="2" cm="1">
        <f t="array" aca="1" ref="AB34" ca="1">MAX(1, Z34*1000 / DaysPerMonth * X34)</f>
        <v>843.05822069903945</v>
      </c>
      <c r="AC34" s="2" cm="1">
        <f t="array" aca="1" ref="AC34" ca="1">thm_cum($I$8,qi,Di,bi,bf,telf,bterm,tterm)</f>
        <v>669.95015978432571</v>
      </c>
      <c r="AD34" cm="1">
        <f t="array" aca="1" ref="AD34" ca="1">thm_cum_qf($I$5,qi,Di,bi,bf,telf,bterm,tterm)</f>
        <v>733.44093366398499</v>
      </c>
      <c r="AE34" s="2" cm="1">
        <f t="array" aca="1" ref="AE34" ca="1">thm_eur_t($I$8,U34+DaysPerMonth/2,AA34,qi,Di,bi,bf,telf,bterm,tterm)</f>
        <v>653.82176174495044</v>
      </c>
      <c r="AF34" cm="1">
        <f t="array" aca="1" ref="AF34" ca="1">thm_eur_qf($I$5,U34+DaysPerMonth/2,AA34,qi,Di,bi,bf,telf,bterm,tterm)</f>
        <v>717.31253562460984</v>
      </c>
    </row>
    <row r="35" spans="2:32" x14ac:dyDescent="0.25">
      <c r="B35" cm="1">
        <f t="array" ref="B35">B34+log_interval</f>
        <v>0.34538776394910686</v>
      </c>
      <c r="C35">
        <f t="shared" si="1"/>
        <v>1.4125375446227544</v>
      </c>
      <c r="D35">
        <f ca="1"/>
        <v>1129.2711401892341</v>
      </c>
      <c r="E35">
        <f ca="1"/>
        <v>1.0857953229944813E-2</v>
      </c>
      <c r="F35">
        <f ca="1"/>
        <v>2</v>
      </c>
      <c r="G35">
        <f ca="1"/>
        <v>1.6075617005009686</v>
      </c>
      <c r="H35">
        <f t="shared" ca="1" si="2"/>
        <v>1.3979401250075607</v>
      </c>
      <c r="J35" s="5" cm="1">
        <f t="array" aca="1" ref="J35" ca="1">thm_rate($C35,qi,Di,bi,bf,telf,bterm,tterm)</f>
        <v>1129.2711401892341</v>
      </c>
      <c r="K35" s="5" cm="1">
        <f t="array" aca="1" ref="K35" ca="1">thm_D($C35,qi,Di,bi,bf,telf,bterm,tterm)</f>
        <v>1.0857953229944813E-2</v>
      </c>
      <c r="L35" s="3" cm="1">
        <f t="array" aca="1" ref="L35" ca="1">thm_D_eff(C35,qi,Di,bi,bf,telf,bterm,tterm)</f>
        <v>0.66539525961116919</v>
      </c>
      <c r="M35" cm="1">
        <f t="array" aca="1" ref="M35" ca="1">thm_b(C35,qi,Di,bi,bf,telf,bterm,tterm)</f>
        <v>2</v>
      </c>
      <c r="N35" cm="1">
        <f t="array" aca="1" ref="N35" ca="1">thm_monthly_vol(C35,qi,Di,bi,bf,telf,bterm,tterm)</f>
        <v>34.639899976652288</v>
      </c>
      <c r="O35" cm="1">
        <f t="array" aca="1" ref="O35" ca="1">thm_cum($C35,qi,Di,bi,bf,telf,bterm,tterm)</f>
        <v>1.6075617005009686</v>
      </c>
      <c r="Q35" cm="1">
        <f t="array" aca="1" ref="Q35" ca="1">thm_rate(C35,$F$3,$F$4,$F$5,$F$6,$F$7,$F$8,$F$9)</f>
        <v>1018.2457081614562</v>
      </c>
      <c r="U35" s="2" cm="1">
        <f t="array" ref="U35">DaysPerMonth+U34</f>
        <v>167.40625</v>
      </c>
      <c r="V35" s="2">
        <f ca="1">IF(W34, _xlfn.NORM.S.DIST((_xlfn.NORM.S.INV(V34)*$N$8+SQRT(1-$N$8^2)*RAND()), TRUE), RAND())</f>
        <v>0.16259979276688141</v>
      </c>
      <c r="W35" s="2" t="b">
        <f ca="1">V35&lt;$N$7</f>
        <v>1</v>
      </c>
      <c r="X35" s="2">
        <f t="shared" ca="1" si="4"/>
        <v>0.12009234579446421</v>
      </c>
      <c r="Y35" s="2">
        <v>1</v>
      </c>
      <c r="Z35" s="2" cm="1">
        <f t="array" aca="1" ref="Z35" ca="1">thm_monthly_vol(U35,qi,Di,bi,bf,telf,bterm,tterm)*X35*Y35</f>
        <v>1.9136113057402662</v>
      </c>
      <c r="AA35" s="2">
        <f t="shared" ca="1" si="3"/>
        <v>97.408438547567187</v>
      </c>
      <c r="AB35" s="2" cm="1">
        <f t="array" aca="1" ref="AB35" ca="1">MAX(1, Z35*1000 / DaysPerMonth * X35)</f>
        <v>7.5502281936806961</v>
      </c>
      <c r="AC35" s="2" cm="1">
        <f t="array" aca="1" ref="AC35" ca="1">thm_cum($I$8,qi,Di,bi,bf,telf,bterm,tterm)</f>
        <v>669.95015978432571</v>
      </c>
      <c r="AD35" cm="1">
        <f t="array" aca="1" ref="AD35" ca="1">thm_cum_qf($I$5,qi,Di,bi,bf,telf,bterm,tterm)</f>
        <v>733.44093366398499</v>
      </c>
      <c r="AE35" s="2" cm="1">
        <f t="array" aca="1" ref="AE35" ca="1">thm_eur_t($I$8,U35+DaysPerMonth/2,AA35,qi,Di,bi,bf,telf,bterm,tterm)</f>
        <v>640.54751816392366</v>
      </c>
      <c r="AF35" cm="1">
        <f t="array" aca="1" ref="AF35" ca="1">thm_eur_qf($I$5,U35+DaysPerMonth/2,AA35,qi,Di,bi,bf,telf,bterm,tterm)</f>
        <v>704.03829204358294</v>
      </c>
    </row>
    <row r="36" spans="2:32" x14ac:dyDescent="0.25">
      <c r="B36" cm="1">
        <f t="array" ref="B36">B35+log_interval</f>
        <v>0.40295239127395799</v>
      </c>
      <c r="C36">
        <f t="shared" si="1"/>
        <v>1.4962356560944334</v>
      </c>
      <c r="D36">
        <f ca="1"/>
        <v>1128.2462665479377</v>
      </c>
      <c r="E36">
        <f ca="1"/>
        <v>1.0838253832646362E-2</v>
      </c>
      <c r="F36">
        <f ca="1"/>
        <v>2</v>
      </c>
      <c r="G36">
        <f ca="1"/>
        <v>1.7020366528088309</v>
      </c>
      <c r="H36">
        <f t="shared" ca="1" si="2"/>
        <v>1.4800958062471543</v>
      </c>
      <c r="J36" s="5" cm="1">
        <f t="array" aca="1" ref="J36" ca="1">thm_rate($C36,qi,Di,bi,bf,telf,bterm,tterm)</f>
        <v>1128.2462665479377</v>
      </c>
      <c r="K36" s="5" cm="1">
        <f t="array" aca="1" ref="K36" ca="1">thm_D($C36,qi,Di,bi,bf,telf,bterm,tterm)</f>
        <v>1.0838253832646362E-2</v>
      </c>
      <c r="L36" s="3" cm="1">
        <f t="array" aca="1" ref="L36" ca="1">thm_D_eff(C36,qi,Di,bi,bf,telf,bterm,tterm)</f>
        <v>0.66512538339861593</v>
      </c>
      <c r="M36" cm="1">
        <f t="array" aca="1" ref="M36" ca="1">thm_b(C36,qi,Di,bi,bf,telf,bterm,tterm)</f>
        <v>2</v>
      </c>
      <c r="N36" cm="1">
        <f t="array" aca="1" ref="N36" ca="1">thm_monthly_vol(C36,qi,Di,bi,bf,telf,bterm,tterm)</f>
        <v>34.624051638426614</v>
      </c>
      <c r="O36" cm="1">
        <f t="array" aca="1" ref="O36" ca="1">thm_cum($C36,qi,Di,bi,bf,telf,bterm,tterm)</f>
        <v>1.7020366528088309</v>
      </c>
      <c r="Q36" cm="1">
        <f t="array" aca="1" ref="Q36" ca="1">thm_rate(C36,$F$3,$F$4,$F$5,$F$6,$F$7,$F$8,$F$9)</f>
        <v>1017.7109366336964</v>
      </c>
      <c r="U36" s="2" cm="1">
        <f t="array" ref="U36">DaysPerMonth+U35</f>
        <v>197.84375</v>
      </c>
      <c r="V36" s="2">
        <f ca="1">IF(W35, _xlfn.NORM.S.DIST((_xlfn.NORM.S.INV(V35)*$N$8+SQRT(1-$N$8^2)*RAND()), TRUE), RAND())</f>
        <v>0.41329059897542786</v>
      </c>
      <c r="W36" s="2" t="b">
        <f ca="1">V36&lt;$N$7</f>
        <v>0</v>
      </c>
      <c r="X36" s="2">
        <f t="shared" ca="1" si="4"/>
        <v>0.89500000000000002</v>
      </c>
      <c r="Y36" s="2">
        <v>1</v>
      </c>
      <c r="Z36" s="2" cm="1">
        <f t="array" aca="1" ref="Z36" ca="1">thm_monthly_vol(U36,qi,Di,bi,bf,telf,bterm,tterm)*X36*Y36</f>
        <v>12.984744998006967</v>
      </c>
      <c r="AA36" s="2">
        <f t="shared" ca="1" si="3"/>
        <v>110.39318354557415</v>
      </c>
      <c r="AB36" s="2" cm="1">
        <f t="array" aca="1" ref="AB36" ca="1">MAX(1, Z36*1000 / DaysPerMonth * X36)</f>
        <v>381.81016092702208</v>
      </c>
      <c r="AC36" s="2" cm="1">
        <f t="array" aca="1" ref="AC36" ca="1">thm_cum($I$8,qi,Di,bi,bf,telf,bterm,tterm)</f>
        <v>669.95015978432571</v>
      </c>
      <c r="AD36" cm="1">
        <f t="array" aca="1" ref="AD36" ca="1">thm_cum_qf($I$5,qi,Di,bi,bf,telf,bterm,tterm)</f>
        <v>733.44093366398499</v>
      </c>
      <c r="AE36" s="2" cm="1">
        <f t="array" aca="1" ref="AE36" ca="1">thm_eur_t($I$8,U36+DaysPerMonth/2,AA36,qi,Di,bi,bf,telf,bterm,tterm)</f>
        <v>639.64565145290408</v>
      </c>
      <c r="AF36" cm="1">
        <f t="array" aca="1" ref="AF36" ca="1">thm_eur_qf($I$5,U36+DaysPerMonth/2,AA36,qi,Di,bi,bf,telf,bterm,tterm)</f>
        <v>703.13642533256336</v>
      </c>
    </row>
    <row r="37" spans="2:32" x14ac:dyDescent="0.25">
      <c r="B37" cm="1">
        <f t="array" ref="B37">B36+log_interval</f>
        <v>0.46051701859880911</v>
      </c>
      <c r="C37">
        <f t="shared" si="1"/>
        <v>1.5848931924611134</v>
      </c>
      <c r="D37">
        <f ca="1"/>
        <v>1127.1637028317891</v>
      </c>
      <c r="E37">
        <f ca="1"/>
        <v>1.0817464982412053E-2</v>
      </c>
      <c r="F37">
        <f ca="1"/>
        <v>2</v>
      </c>
      <c r="G37">
        <f ca="1"/>
        <v>1.8020161754659871</v>
      </c>
      <c r="H37">
        <f t="shared" ca="1" si="2"/>
        <v>1.5670382771694122</v>
      </c>
      <c r="J37" s="5" cm="1">
        <f t="array" aca="1" ref="J37" ca="1">thm_rate($C37,qi,Di,bi,bf,telf,bterm,tterm)</f>
        <v>1127.1637028317891</v>
      </c>
      <c r="K37" s="5" cm="1">
        <f t="array" aca="1" ref="K37" ca="1">thm_D($C37,qi,Di,bi,bf,telf,bterm,tterm)</f>
        <v>1.0817464982412053E-2</v>
      </c>
      <c r="L37" s="3" cm="1">
        <f t="array" aca="1" ref="L37" ca="1">thm_D_eff(C37,qi,Di,bi,bf,telf,bterm,tterm)</f>
        <v>0.66483987261235344</v>
      </c>
      <c r="M37" cm="1">
        <f t="array" aca="1" ref="M37" ca="1">thm_b(C37,qi,Di,bi,bf,telf,bterm,tterm)</f>
        <v>2</v>
      </c>
      <c r="N37" cm="1">
        <f t="array" aca="1" ref="N37" ca="1">thm_monthly_vol(C37,qi,Di,bi,bf,telf,bterm,tterm)</f>
        <v>34.607295685063484</v>
      </c>
      <c r="O37" cm="1">
        <f t="array" aca="1" ref="O37" ca="1">thm_cum($C37,qi,Di,bi,bf,telf,bterm,tterm)</f>
        <v>1.8020161754659871</v>
      </c>
      <c r="Q37" cm="1">
        <f t="array" aca="1" ref="Q37" ca="1">thm_rate(C37,$F$3,$F$4,$F$5,$F$6,$F$7,$F$8,$F$9)</f>
        <v>1017.1450901839243</v>
      </c>
      <c r="U37" s="2" cm="1">
        <f t="array" ref="U37">DaysPerMonth+U36</f>
        <v>228.28125</v>
      </c>
      <c r="V37" s="2">
        <f ca="1">IF(W36, _xlfn.NORM.S.DIST((_xlfn.NORM.S.INV(V36)*$N$8+SQRT(1-$N$8^2)*RAND()), TRUE), RAND())</f>
        <v>0.61658401524765016</v>
      </c>
      <c r="W37" s="2" t="b">
        <f ca="1">V37&lt;$N$7</f>
        <v>0</v>
      </c>
      <c r="X37" s="2">
        <f t="shared" ca="1" si="4"/>
        <v>1.0589999999999999</v>
      </c>
      <c r="Y37" s="2">
        <v>1</v>
      </c>
      <c r="Z37" s="2" cm="1">
        <f t="array" aca="1" ref="Z37" ca="1">thm_monthly_vol(U37,qi,Di,bi,bf,telf,bterm,tterm)*X37*Y37</f>
        <v>14.101871598185701</v>
      </c>
      <c r="AA37" s="2">
        <f t="shared" ca="1" si="3"/>
        <v>124.49505514375984</v>
      </c>
      <c r="AB37" s="2" cm="1">
        <f t="array" aca="1" ref="AB37" ca="1">MAX(1, Z37*1000 / DaysPerMonth * X37)</f>
        <v>490.64088780217349</v>
      </c>
      <c r="AC37" s="2" cm="1">
        <f t="array" aca="1" ref="AC37" ca="1">thm_cum($I$8,qi,Di,bi,bf,telf,bterm,tterm)</f>
        <v>669.95015978432571</v>
      </c>
      <c r="AD37" cm="1">
        <f t="array" aca="1" ref="AD37" ca="1">thm_cum_qf($I$5,qi,Di,bi,bf,telf,bterm,tterm)</f>
        <v>733.44093366398499</v>
      </c>
      <c r="AE37" s="2" cm="1">
        <f t="array" aca="1" ref="AE37" ca="1">thm_eur_t($I$8,U37+DaysPerMonth/2,AA37,qi,Di,bi,bf,telf,bterm,tterm)</f>
        <v>640.95667194263376</v>
      </c>
      <c r="AF37" cm="1">
        <f t="array" aca="1" ref="AF37" ca="1">thm_eur_qf($I$5,U37+DaysPerMonth/2,AA37,qi,Di,bi,bf,telf,bterm,tterm)</f>
        <v>704.44744582229305</v>
      </c>
    </row>
    <row r="38" spans="2:32" x14ac:dyDescent="0.25">
      <c r="B38" cm="1">
        <f t="array" ref="B38">B37+log_interval</f>
        <v>0.51808164592366024</v>
      </c>
      <c r="C38">
        <f t="shared" si="1"/>
        <v>1.6788040181225603</v>
      </c>
      <c r="D38">
        <f ca="1"/>
        <v>1126.0203849850247</v>
      </c>
      <c r="E38">
        <f ca="1"/>
        <v>1.0795531117412592E-2</v>
      </c>
      <c r="F38">
        <f ca="1"/>
        <v>2</v>
      </c>
      <c r="G38">
        <f ca="1"/>
        <v>1.9078153372520494</v>
      </c>
      <c r="H38">
        <f t="shared" ca="1" si="2"/>
        <v>1.6590415224612181</v>
      </c>
      <c r="J38" s="5" cm="1">
        <f t="array" aca="1" ref="J38" ca="1">thm_rate($C38,qi,Di,bi,bf,telf,bterm,tterm)</f>
        <v>1126.0203849850247</v>
      </c>
      <c r="K38" s="5" cm="1">
        <f t="array" aca="1" ref="K38" ca="1">thm_D($C38,qi,Di,bi,bf,telf,bterm,tterm)</f>
        <v>1.0795531117412592E-2</v>
      </c>
      <c r="L38" s="3" cm="1">
        <f t="array" aca="1" ref="L38" ca="1">thm_D_eff(C38,qi,Di,bi,bf,telf,bterm,tterm)</f>
        <v>0.66453784324767051</v>
      </c>
      <c r="M38" cm="1">
        <f t="array" aca="1" ref="M38" ca="1">thm_b(C38,qi,Di,bi,bf,telf,bterm,tterm)</f>
        <v>2</v>
      </c>
      <c r="N38" cm="1">
        <f t="array" aca="1" ref="N38" ca="1">thm_monthly_vol(C38,qi,Di,bi,bf,telf,bterm,tterm)</f>
        <v>34.589582048147058</v>
      </c>
      <c r="O38" cm="1">
        <f t="array" aca="1" ref="O38" ca="1">thm_cum($C38,qi,Di,bi,bf,telf,bterm,tterm)</f>
        <v>1.9078153372520494</v>
      </c>
      <c r="Q38" cm="1">
        <f t="array" aca="1" ref="Q38" ca="1">thm_rate(C38,$F$3,$F$4,$F$5,$F$6,$F$7,$F$8,$F$9)</f>
        <v>1016.5464010705973</v>
      </c>
      <c r="U38" s="2" cm="1">
        <f t="array" ref="U38">DaysPerMonth+U37</f>
        <v>258.71875</v>
      </c>
      <c r="V38" s="2">
        <f ca="1">IF(W37, _xlfn.NORM.S.DIST((_xlfn.NORM.S.INV(V37)*$N$8+SQRT(1-$N$8^2)*RAND()), TRUE), RAND())</f>
        <v>0.12980806467328965</v>
      </c>
      <c r="W38" s="2" t="b">
        <f ca="1">V38&lt;$N$7</f>
        <v>1</v>
      </c>
      <c r="X38" s="2">
        <f t="shared" ca="1" si="4"/>
        <v>7.0935543595230841E-2</v>
      </c>
      <c r="Y38" s="2">
        <v>1</v>
      </c>
      <c r="Z38" s="2" cm="1">
        <f t="array" aca="1" ref="Z38" ca="1">thm_monthly_vol(U38,qi,Di,bi,bf,telf,bterm,tterm)*X38*Y38</f>
        <v>0.87288933735412377</v>
      </c>
      <c r="AA38" s="2">
        <f t="shared" ca="1" si="3"/>
        <v>125.36794448111397</v>
      </c>
      <c r="AB38" s="2" cm="1">
        <f t="array" aca="1" ref="AB38" ca="1">MAX(1, Z38*1000 / DaysPerMonth * X38)</f>
        <v>2.0342958404499583</v>
      </c>
      <c r="AC38" s="2" cm="1">
        <f t="array" aca="1" ref="AC38" ca="1">thm_cum($I$8,qi,Di,bi,bf,telf,bterm,tterm)</f>
        <v>669.95015978432571</v>
      </c>
      <c r="AD38" cm="1">
        <f t="array" aca="1" ref="AD38" ca="1">thm_cum_qf($I$5,qi,Di,bi,bf,telf,bterm,tterm)</f>
        <v>733.44093366398499</v>
      </c>
      <c r="AE38" s="2" cm="1">
        <f t="array" aca="1" ref="AE38" ca="1">thm_eur_t($I$8,U38+DaysPerMonth/2,AA38,qi,Di,bi,bf,telf,bterm,tterm)</f>
        <v>629.97411888952604</v>
      </c>
      <c r="AF38" cm="1">
        <f t="array" aca="1" ref="AF38" ca="1">thm_eur_qf($I$5,U38+DaysPerMonth/2,AA38,qi,Di,bi,bf,telf,bterm,tterm)</f>
        <v>693.46489276918533</v>
      </c>
    </row>
    <row r="39" spans="2:32" x14ac:dyDescent="0.25">
      <c r="B39" cm="1">
        <f t="array" ref="B39">B38+log_interval</f>
        <v>0.57564627324851136</v>
      </c>
      <c r="C39">
        <f t="shared" si="1"/>
        <v>1.7782794100389228</v>
      </c>
      <c r="D39">
        <f ca="1"/>
        <v>1124.8131076804316</v>
      </c>
      <c r="E39">
        <f ca="1"/>
        <v>1.0772394390891388E-2</v>
      </c>
      <c r="F39">
        <f ca="1"/>
        <v>2</v>
      </c>
      <c r="G39">
        <f ca="1"/>
        <v>2.0197665769552682</v>
      </c>
      <c r="H39">
        <f t="shared" ca="1" si="2"/>
        <v>1.7563946318172685</v>
      </c>
      <c r="J39" s="5" cm="1">
        <f t="array" aca="1" ref="J39" ca="1">thm_rate($C39,qi,Di,bi,bf,telf,bterm,tterm)</f>
        <v>1124.8131076804316</v>
      </c>
      <c r="K39" s="5" cm="1">
        <f t="array" aca="1" ref="K39" ca="1">thm_D($C39,qi,Di,bi,bf,telf,bterm,tterm)</f>
        <v>1.0772394390891388E-2</v>
      </c>
      <c r="L39" s="3" cm="1">
        <f t="array" aca="1" ref="L39" ca="1">thm_D_eff(C39,qi,Di,bi,bf,telf,bterm,tterm)</f>
        <v>0.66421836389029831</v>
      </c>
      <c r="M39" cm="1">
        <f t="array" aca="1" ref="M39" ca="1">thm_b(C39,qi,Di,bi,bf,telf,bterm,tterm)</f>
        <v>2</v>
      </c>
      <c r="N39" cm="1">
        <f t="array" aca="1" ref="N39" ca="1">thm_monthly_vol(C39,qi,Di,bi,bf,telf,bterm,tterm)</f>
        <v>34.570858122194856</v>
      </c>
      <c r="O39" cm="1">
        <f t="array" aca="1" ref="O39" ca="1">thm_cum($C39,qi,Di,bi,bf,telf,bterm,tterm)</f>
        <v>2.0197665769552682</v>
      </c>
      <c r="Q39" cm="1">
        <f t="array" aca="1" ref="Q39" ca="1">thm_rate(C39,$F$3,$F$4,$F$5,$F$6,$F$7,$F$8,$F$9)</f>
        <v>1015.9130055699937</v>
      </c>
      <c r="U39" s="2" cm="1">
        <f t="array" ref="U39">DaysPerMonth+U38</f>
        <v>289.15625</v>
      </c>
      <c r="V39" s="2">
        <f ca="1">IF(W38, _xlfn.NORM.S.DIST((_xlfn.NORM.S.INV(V38)*$N$8+SQRT(1-$N$8^2)*RAND()), TRUE), RAND())</f>
        <v>0.21488188097384572</v>
      </c>
      <c r="W39" s="2" t="b">
        <f ca="1">V39&lt;$N$7</f>
        <v>0</v>
      </c>
      <c r="X39" s="2">
        <f t="shared" ca="1" si="4"/>
        <v>0.98</v>
      </c>
      <c r="Y39" s="2">
        <v>1</v>
      </c>
      <c r="Z39" s="2" cm="1">
        <f t="array" aca="1" ref="Z39" ca="1">thm_monthly_vol(U39,qi,Di,bi,bf,telf,bterm,tterm)*X39*Y39</f>
        <v>11.208509200306278</v>
      </c>
      <c r="AA39" s="2">
        <f t="shared" ca="1" si="3"/>
        <v>136.57645368142025</v>
      </c>
      <c r="AB39" s="2" cm="1">
        <f t="array" aca="1" ref="AB39" ca="1">MAX(1, Z39*1000 / DaysPerMonth * X39)</f>
        <v>360.88177466283867</v>
      </c>
      <c r="AC39" s="2" cm="1">
        <f t="array" aca="1" ref="AC39" ca="1">thm_cum($I$8,qi,Di,bi,bf,telf,bterm,tterm)</f>
        <v>669.95015978432571</v>
      </c>
      <c r="AD39" cm="1">
        <f t="array" aca="1" ref="AD39" ca="1">thm_cum_qf($I$5,qi,Di,bi,bf,telf,bterm,tterm)</f>
        <v>733.44093366398499</v>
      </c>
      <c r="AE39" s="2" cm="1">
        <f t="array" aca="1" ref="AE39" ca="1">thm_eur_t($I$8,U39+DaysPerMonth/2,AA39,qi,Di,bi,bf,telf,bterm,tterm)</f>
        <v>630.13505381541677</v>
      </c>
      <c r="AF39" cm="1">
        <f t="array" aca="1" ref="AF39" ca="1">thm_eur_qf($I$5,U39+DaysPerMonth/2,AA39,qi,Di,bi,bf,telf,bterm,tterm)</f>
        <v>693.62582769507594</v>
      </c>
    </row>
    <row r="40" spans="2:32" x14ac:dyDescent="0.25">
      <c r="B40" cm="1">
        <f t="array" ref="B40">B39+log_interval</f>
        <v>0.63321090057336249</v>
      </c>
      <c r="C40">
        <f t="shared" si="1"/>
        <v>1.8836490894898004</v>
      </c>
      <c r="D40">
        <f ca="1"/>
        <v>1123.5385203419607</v>
      </c>
      <c r="E40">
        <f ca="1"/>
        <v>1.0747994642894327E-2</v>
      </c>
      <c r="F40">
        <f ca="1"/>
        <v>2</v>
      </c>
      <c r="G40">
        <f ca="1"/>
        <v>2.1382205840560244</v>
      </c>
      <c r="H40">
        <f t="shared" ca="1" si="2"/>
        <v>1.8594025657848878</v>
      </c>
      <c r="J40" s="5" cm="1">
        <f t="array" aca="1" ref="J40" ca="1">thm_rate($C40,qi,Di,bi,bf,telf,bterm,tterm)</f>
        <v>1123.5385203419607</v>
      </c>
      <c r="K40" s="5" cm="1">
        <f t="array" aca="1" ref="K40" ca="1">thm_D($C40,qi,Di,bi,bf,telf,bterm,tterm)</f>
        <v>1.0747994642894327E-2</v>
      </c>
      <c r="L40" s="3" cm="1">
        <f t="array" aca="1" ref="L40" ca="1">thm_D_eff(C40,qi,Di,bi,bf,telf,bterm,tterm)</f>
        <v>0.66388045347712099</v>
      </c>
      <c r="M40" cm="1">
        <f t="array" aca="1" ref="M40" ca="1">thm_b(C40,qi,Di,bi,bf,telf,bterm,tterm)</f>
        <v>2</v>
      </c>
      <c r="N40" cm="1">
        <f t="array" aca="1" ref="N40" ca="1">thm_monthly_vol(C40,qi,Di,bi,bf,telf,bterm,tterm)</f>
        <v>34.551068662599562</v>
      </c>
      <c r="O40" cm="1">
        <f t="array" aca="1" ref="O40" ca="1">thm_cum($C40,qi,Di,bi,bf,telf,bterm,tterm)</f>
        <v>2.1382205840560244</v>
      </c>
      <c r="Q40" cm="1">
        <f t="array" aca="1" ref="Q40" ca="1">thm_rate(C40,$F$3,$F$4,$F$5,$F$6,$F$7,$F$8,$F$9)</f>
        <v>1015.2429393188145</v>
      </c>
      <c r="U40" s="2" cm="1">
        <f t="array" ref="U40">DaysPerMonth+U39</f>
        <v>319.59375</v>
      </c>
      <c r="V40" s="2">
        <f ca="1">IF(W39, _xlfn.NORM.S.DIST((_xlfn.NORM.S.INV(V39)*$N$8+SQRT(1-$N$8^2)*RAND()), TRUE), RAND())</f>
        <v>0.21206388854926228</v>
      </c>
      <c r="W40" s="2" t="b">
        <f ca="1">V40&lt;$N$7</f>
        <v>0</v>
      </c>
      <c r="X40" s="2">
        <f t="shared" ca="1" si="4"/>
        <v>0.95899999999999996</v>
      </c>
      <c r="Y40" s="2">
        <v>1</v>
      </c>
      <c r="Z40" s="2" cm="1">
        <f t="array" aca="1" ref="Z40" ca="1">thm_monthly_vol(U40,qi,Di,bi,bf,telf,bterm,tterm)*X40*Y40</f>
        <v>10.245555433433257</v>
      </c>
      <c r="AA40" s="2">
        <f t="shared" ca="1" si="3"/>
        <v>146.8220091148535</v>
      </c>
      <c r="AB40" s="2" cm="1">
        <f t="array" aca="1" ref="AB40" ca="1">MAX(1, Z40*1000 / DaysPerMonth * X40)</f>
        <v>322.80862950841868</v>
      </c>
      <c r="AC40" s="2" cm="1">
        <f t="array" aca="1" ref="AC40" ca="1">thm_cum($I$8,qi,Di,bi,bf,telf,bterm,tterm)</f>
        <v>669.95015978432571</v>
      </c>
      <c r="AD40" cm="1">
        <f t="array" aca="1" ref="AD40" ca="1">thm_cum_qf($I$5,qi,Di,bi,bf,telf,bterm,tterm)</f>
        <v>733.44093366398499</v>
      </c>
      <c r="AE40" s="2" cm="1">
        <f t="array" aca="1" ref="AE40" ca="1">thm_eur_t($I$8,U40+DaysPerMonth/2,AA40,qi,Di,bi,bf,telf,bterm,tterm)</f>
        <v>630.03779071165786</v>
      </c>
      <c r="AF40" cm="1">
        <f t="array" aca="1" ref="AF40" ca="1">thm_eur_qf($I$5,U40+DaysPerMonth/2,AA40,qi,Di,bi,bf,telf,bterm,tterm)</f>
        <v>693.52856459131715</v>
      </c>
    </row>
    <row r="41" spans="2:32" x14ac:dyDescent="0.25">
      <c r="B41" cm="1">
        <f t="array" ref="B41">B40+log_interval</f>
        <v>0.69077552789821361</v>
      </c>
      <c r="C41">
        <f t="shared" si="1"/>
        <v>1.9952623149688795</v>
      </c>
      <c r="D41">
        <f ca="1"/>
        <v>1122.1931233774342</v>
      </c>
      <c r="E41">
        <f ca="1"/>
        <v>1.0722269380699048E-2</v>
      </c>
      <c r="F41">
        <f ca="1"/>
        <v>2</v>
      </c>
      <c r="G41">
        <f ca="1"/>
        <v>2.2635472152330487</v>
      </c>
      <c r="H41">
        <f t="shared" ca="1" si="2"/>
        <v>1.968386952760385</v>
      </c>
      <c r="J41" s="5" cm="1">
        <f t="array" aca="1" ref="J41" ca="1">thm_rate($C41,qi,Di,bi,bf,telf,bterm,tterm)</f>
        <v>1122.1931233774342</v>
      </c>
      <c r="K41" s="5" cm="1">
        <f t="array" aca="1" ref="K41" ca="1">thm_D($C41,qi,Di,bi,bf,telf,bterm,tterm)</f>
        <v>1.0722269380699048E-2</v>
      </c>
      <c r="L41" s="3" cm="1">
        <f t="array" aca="1" ref="L41" ca="1">thm_D_eff(C41,qi,Di,bi,bf,telf,bterm,tterm)</f>
        <v>0.66352307898722129</v>
      </c>
      <c r="M41" cm="1">
        <f t="array" aca="1" ref="M41" ca="1">thm_b(C41,qi,Di,bi,bf,telf,bterm,tterm)</f>
        <v>2</v>
      </c>
      <c r="N41" cm="1">
        <f t="array" aca="1" ref="N41" ca="1">thm_monthly_vol(C41,qi,Di,bi,bf,telf,bterm,tterm)</f>
        <v>34.530155682678</v>
      </c>
      <c r="O41" cm="1">
        <f t="array" aca="1" ref="O41" ca="1">thm_cum($C41,qi,Di,bi,bf,telf,bterm,tterm)</f>
        <v>2.2635472152330487</v>
      </c>
      <c r="Q41" cm="1">
        <f t="array" aca="1" ref="Q41" ca="1">thm_rate(C41,$F$3,$F$4,$F$5,$F$6,$F$7,$F$8,$F$9)</f>
        <v>1014.534132499271</v>
      </c>
      <c r="U41" s="2" cm="1">
        <f t="array" ref="U41">DaysPerMonth+U40</f>
        <v>350.03125</v>
      </c>
      <c r="V41" s="2">
        <f ca="1">IF(W40, _xlfn.NORM.S.DIST((_xlfn.NORM.S.INV(V40)*$N$8+SQRT(1-$N$8^2)*RAND()), TRUE), RAND())</f>
        <v>0.50288978274991392</v>
      </c>
      <c r="W41" s="2" t="b">
        <f ca="1">V41&lt;$N$7</f>
        <v>0</v>
      </c>
      <c r="X41" s="2">
        <f t="shared" ca="1" si="4"/>
        <v>1.0549999999999999</v>
      </c>
      <c r="Y41" s="2">
        <v>1</v>
      </c>
      <c r="Z41" s="2" cm="1">
        <f t="array" aca="1" ref="Z41" ca="1">thm_monthly_vol(U41,qi,Di,bi,bf,telf,bterm,tterm)*X41*Y41</f>
        <v>10.574399578650521</v>
      </c>
      <c r="AA41" s="2">
        <f t="shared" ca="1" si="3"/>
        <v>157.39640869350401</v>
      </c>
      <c r="AB41" s="2" cm="1">
        <f t="array" aca="1" ref="AB41" ca="1">MAX(1, Z41*1000 / DaysPerMonth * X41)</f>
        <v>366.52128313679827</v>
      </c>
      <c r="AC41" s="2" cm="1">
        <f t="array" aca="1" ref="AC41" ca="1">thm_cum($I$8,qi,Di,bi,bf,telf,bterm,tterm)</f>
        <v>669.95015978432571</v>
      </c>
      <c r="AD41" cm="1">
        <f t="array" aca="1" ref="AD41" ca="1">thm_cum_qf($I$5,qi,Di,bi,bf,telf,bterm,tterm)</f>
        <v>733.44093366398499</v>
      </c>
      <c r="AE41" s="2" cm="1">
        <f t="array" aca="1" ref="AE41" ca="1">thm_eur_t($I$8,U41+DaysPerMonth/2,AA41,qi,Di,bi,bf,telf,bterm,tterm)</f>
        <v>630.88957755565548</v>
      </c>
      <c r="AF41" cm="1">
        <f t="array" aca="1" ref="AF41" ca="1">thm_eur_qf($I$5,U41+DaysPerMonth/2,AA41,qi,Di,bi,bf,telf,bterm,tterm)</f>
        <v>694.38035143531465</v>
      </c>
    </row>
    <row r="42" spans="2:32" x14ac:dyDescent="0.25">
      <c r="B42" cm="1">
        <f t="array" ref="B42">B41+log_interval</f>
        <v>0.74834015522306474</v>
      </c>
      <c r="C42">
        <f t="shared" si="1"/>
        <v>2.1134890398366464</v>
      </c>
      <c r="D42">
        <f ca="1"/>
        <v>1120.7732646730924</v>
      </c>
      <c r="E42">
        <f ca="1"/>
        <v>1.0695153769283558E-2</v>
      </c>
      <c r="F42">
        <f ca="1"/>
        <v>2</v>
      </c>
      <c r="G42">
        <f ca="1"/>
        <v>2.396136447125262</v>
      </c>
      <c r="H42">
        <f t="shared" ca="1" si="2"/>
        <v>2.0836869175133992</v>
      </c>
      <c r="J42" s="5" cm="1">
        <f t="array" aca="1" ref="J42" ca="1">thm_rate($C42,qi,Di,bi,bf,telf,bterm,tterm)</f>
        <v>1120.7732646730924</v>
      </c>
      <c r="K42" s="5" cm="1">
        <f t="array" aca="1" ref="K42" ca="1">thm_D($C42,qi,Di,bi,bf,telf,bterm,tterm)</f>
        <v>1.0695153769283558E-2</v>
      </c>
      <c r="L42" s="3" cm="1">
        <f t="array" aca="1" ref="L42" ca="1">thm_D_eff(C42,qi,Di,bi,bf,telf,bterm,tterm)</f>
        <v>0.66314515306568778</v>
      </c>
      <c r="M42" cm="1">
        <f t="array" aca="1" ref="M42" ca="1">thm_b(C42,qi,Di,bi,bf,telf,bterm,tterm)</f>
        <v>2</v>
      </c>
      <c r="N42" cm="1">
        <f t="array" aca="1" ref="N42" ca="1">thm_monthly_vol(C42,qi,Di,bi,bf,telf,bterm,tterm)</f>
        <v>34.508058350287058</v>
      </c>
      <c r="O42" cm="1">
        <f t="array" aca="1" ref="O42" ca="1">thm_cum($C42,qi,Di,bi,bf,telf,bterm,tterm)</f>
        <v>2.396136447125262</v>
      </c>
      <c r="Q42" cm="1">
        <f t="array" aca="1" ref="Q42" ca="1">thm_rate(C42,$F$3,$F$4,$F$5,$F$6,$F$7,$F$8,$F$9)</f>
        <v>1013.7844048704674</v>
      </c>
      <c r="U42" s="2" cm="1">
        <f t="array" ref="U42">DaysPerMonth+U41</f>
        <v>380.46875</v>
      </c>
      <c r="V42" s="2">
        <f ca="1">IF(W41, _xlfn.NORM.S.DIST((_xlfn.NORM.S.INV(V41)*$N$8+SQRT(1-$N$8^2)*RAND()), TRUE), RAND())</f>
        <v>0.80285912572891382</v>
      </c>
      <c r="W42" s="2" t="b">
        <f ca="1">V42&lt;$N$7</f>
        <v>0</v>
      </c>
      <c r="X42" s="2">
        <f t="shared" ca="1" si="4"/>
        <v>1.099</v>
      </c>
      <c r="Y42" s="2">
        <v>1</v>
      </c>
      <c r="Z42" s="2" cm="1">
        <f t="array" aca="1" ref="Z42" ca="1">thm_monthly_vol(U42,qi,Di,bi,bf,telf,bterm,tterm)*X42*Y42</f>
        <v>10.37411869151282</v>
      </c>
      <c r="AA42" s="2">
        <f t="shared" ca="1" si="3"/>
        <v>167.77052738501683</v>
      </c>
      <c r="AB42" s="2" cm="1">
        <f t="array" aca="1" ref="AB42" ca="1">MAX(1, Z42*1000 / DaysPerMonth * X42)</f>
        <v>374.57598166645056</v>
      </c>
      <c r="AC42" s="2" cm="1">
        <f t="array" aca="1" ref="AC42" ca="1">thm_cum($I$8,qi,Di,bi,bf,telf,bterm,tterm)</f>
        <v>669.95015978432571</v>
      </c>
      <c r="AD42" cm="1">
        <f t="array" aca="1" ref="AD42" ca="1">thm_cum_qf($I$5,qi,Di,bi,bf,telf,bterm,tterm)</f>
        <v>733.44093366398499</v>
      </c>
      <c r="AE42" s="2" cm="1">
        <f t="array" aca="1" ref="AE42" ca="1">thm_eur_t($I$8,U42+DaysPerMonth/2,AA42,qi,Di,bi,bf,telf,bterm,tterm)</f>
        <v>632.09109741547366</v>
      </c>
      <c r="AF42" cm="1">
        <f t="array" aca="1" ref="AF42" ca="1">thm_eur_qf($I$5,U42+DaysPerMonth/2,AA42,qi,Di,bi,bf,telf,bterm,tterm)</f>
        <v>695.58187129513294</v>
      </c>
    </row>
    <row r="43" spans="2:32" x14ac:dyDescent="0.25">
      <c r="B43" cm="1">
        <f t="array" ref="B43">B42+log_interval</f>
        <v>0.80590478254791587</v>
      </c>
      <c r="C43">
        <f t="shared" si="1"/>
        <v>2.2387211385683394</v>
      </c>
      <c r="D43">
        <f ca="1"/>
        <v>1119.2751364072233</v>
      </c>
      <c r="E43">
        <f ca="1"/>
        <v>1.0666580633286318E-2</v>
      </c>
      <c r="F43">
        <f ca="1"/>
        <v>2</v>
      </c>
      <c r="G43">
        <f ca="1"/>
        <v>2.53639936565183</v>
      </c>
      <c r="H43">
        <f t="shared" ca="1" si="2"/>
        <v>2.2056599415023701</v>
      </c>
      <c r="J43" s="5" cm="1">
        <f t="array" aca="1" ref="J43" ca="1">thm_rate($C43,qi,Di,bi,bf,telf,bterm,tterm)</f>
        <v>1119.2751364072233</v>
      </c>
      <c r="K43" s="5" cm="1">
        <f t="array" aca="1" ref="K43" ca="1">thm_D($C43,qi,Di,bi,bf,telf,bterm,tterm)</f>
        <v>1.0666580633286318E-2</v>
      </c>
      <c r="L43" s="3" cm="1">
        <f t="array" aca="1" ref="L43" ca="1">thm_D_eff(C43,qi,Di,bi,bf,telf,bterm,tterm)</f>
        <v>0.66274553158336924</v>
      </c>
      <c r="M43" cm="1">
        <f t="array" aca="1" ref="M43" ca="1">thm_b(C43,qi,Di,bi,bf,telf,bterm,tterm)</f>
        <v>2</v>
      </c>
      <c r="N43" cm="1">
        <f t="array" aca="1" ref="N43" ca="1">thm_monthly_vol(C43,qi,Di,bi,bf,telf,bterm,tterm)</f>
        <v>34.484712884516732</v>
      </c>
      <c r="O43" cm="1">
        <f t="array" aca="1" ref="O43" ca="1">thm_cum($C43,qi,Di,bi,bf,telf,bterm,tterm)</f>
        <v>2.53639936565183</v>
      </c>
      <c r="Q43" cm="1">
        <f t="array" aca="1" ref="Q43" ca="1">thm_rate(C43,$F$3,$F$4,$F$5,$F$6,$F$7,$F$8,$F$9)</f>
        <v>1012.991460651483</v>
      </c>
      <c r="U43" s="2" cm="1">
        <f t="array" ref="U43">DaysPerMonth+U42</f>
        <v>410.90625</v>
      </c>
      <c r="V43" s="2">
        <f ca="1">IF(W42, _xlfn.NORM.S.DIST((_xlfn.NORM.S.INV(V42)*$N$8+SQRT(1-$N$8^2)*RAND()), TRUE), RAND())</f>
        <v>0.98037926305253664</v>
      </c>
      <c r="W43" s="2" t="b">
        <f ca="1">V43&lt;$N$7</f>
        <v>0</v>
      </c>
      <c r="X43" s="2">
        <f t="shared" ca="1" si="4"/>
        <v>1.0669999999999999</v>
      </c>
      <c r="Y43" s="2">
        <v>1</v>
      </c>
      <c r="Z43" s="2" cm="1">
        <f t="array" aca="1" ref="Z43" ca="1">thm_monthly_vol(U43,qi,Di,bi,bf,telf,bterm,tterm)*X43*Y43</f>
        <v>9.5179511897685867</v>
      </c>
      <c r="AA43" s="2">
        <f t="shared" ca="1" si="3"/>
        <v>177.28847857478542</v>
      </c>
      <c r="AB43" s="2" cm="1">
        <f t="array" aca="1" ref="AB43" ca="1">MAX(1, Z43*1000 / DaysPerMonth * X43)</f>
        <v>333.65598092757557</v>
      </c>
      <c r="AC43" s="2" cm="1">
        <f t="array" aca="1" ref="AC43" ca="1">thm_cum($I$8,qi,Di,bi,bf,telf,bterm,tterm)</f>
        <v>669.95015978432571</v>
      </c>
      <c r="AD43" cm="1">
        <f t="array" aca="1" ref="AD43" ca="1">thm_cum_qf($I$5,qi,Di,bi,bf,telf,bterm,tterm)</f>
        <v>733.44093366398499</v>
      </c>
      <c r="AE43" s="2" cm="1">
        <f t="array" aca="1" ref="AE43" ca="1">thm_eur_t($I$8,U43+DaysPerMonth/2,AA43,qi,Di,bi,bf,telf,bterm,tterm)</f>
        <v>632.92755225566339</v>
      </c>
      <c r="AF43" cm="1">
        <f t="array" aca="1" ref="AF43" ca="1">thm_eur_qf($I$5,U43+DaysPerMonth/2,AA43,qi,Di,bi,bf,telf,bterm,tterm)</f>
        <v>696.41832613532267</v>
      </c>
    </row>
    <row r="44" spans="2:32" x14ac:dyDescent="0.25">
      <c r="B44" cm="1">
        <f t="array" ref="B44">B43+log_interval</f>
        <v>0.86346940987276699</v>
      </c>
      <c r="C44">
        <f t="shared" si="1"/>
        <v>2.3713737056616551</v>
      </c>
      <c r="D44">
        <f ca="1"/>
        <v>1117.6947722458378</v>
      </c>
      <c r="E44">
        <f ca="1"/>
        <v>1.0636480472023382E-2</v>
      </c>
      <c r="F44">
        <f ca="1"/>
        <v>2</v>
      </c>
      <c r="G44">
        <f ca="1"/>
        <v>2.6847691920459571</v>
      </c>
      <c r="H44">
        <f t="shared" ca="1" si="2"/>
        <v>2.3346827551163796</v>
      </c>
      <c r="J44" s="5" cm="1">
        <f t="array" aca="1" ref="J44" ca="1">thm_rate($C44,qi,Di,bi,bf,telf,bterm,tterm)</f>
        <v>1117.6947722458378</v>
      </c>
      <c r="K44" s="5" cm="1">
        <f t="array" aca="1" ref="K44" ca="1">thm_D($C44,qi,Di,bi,bf,telf,bterm,tterm)</f>
        <v>1.0636480472023382E-2</v>
      </c>
      <c r="L44" s="3" cm="1">
        <f t="array" aca="1" ref="L44" ca="1">thm_D_eff(C44,qi,Di,bi,bf,telf,bterm,tterm)</f>
        <v>0.66232301113659653</v>
      </c>
      <c r="M44" cm="1">
        <f t="array" aca="1" ref="M44" ca="1">thm_b(C44,qi,Di,bi,bf,telf,bterm,tterm)</f>
        <v>2</v>
      </c>
      <c r="N44" cm="1">
        <f t="array" aca="1" ref="N44" ca="1">thm_monthly_vol(C44,qi,Di,bi,bf,telf,bterm,tterm)</f>
        <v>34.460052453056171</v>
      </c>
      <c r="O44" cm="1">
        <f t="array" aca="1" ref="O44" ca="1">thm_cum($C44,qi,Di,bi,bf,telf,bterm,tterm)</f>
        <v>2.6847691920459571</v>
      </c>
      <c r="Q44" cm="1">
        <f t="array" aca="1" ref="Q44" ca="1">thm_rate(C44,$F$3,$F$4,$F$5,$F$6,$F$7,$F$8,$F$9)</f>
        <v>1012.1528832633803</v>
      </c>
      <c r="U44" s="2" cm="1">
        <f t="array" ref="U44">DaysPerMonth+U43</f>
        <v>441.34375</v>
      </c>
      <c r="V44" s="2">
        <f ca="1">IF(W43, _xlfn.NORM.S.DIST((_xlfn.NORM.S.INV(V43)*$N$8+SQRT(1-$N$8^2)*RAND()), TRUE), RAND())</f>
        <v>0.48847817374683822</v>
      </c>
      <c r="W44" s="2" t="b">
        <f ca="1">V44&lt;$N$7</f>
        <v>0</v>
      </c>
      <c r="X44" s="2">
        <f t="shared" ca="1" si="4"/>
        <v>1.0169999999999999</v>
      </c>
      <c r="Y44" s="2">
        <v>1</v>
      </c>
      <c r="Z44" s="2" cm="1">
        <f t="array" aca="1" ref="Z44" ca="1">thm_monthly_vol(U44,qi,Di,bi,bf,telf,bterm,tterm)*X44*Y44</f>
        <v>8.5988932351629082</v>
      </c>
      <c r="AA44" s="2">
        <f t="shared" ca="1" si="3"/>
        <v>185.88737180994832</v>
      </c>
      <c r="AB44" s="2" cm="1">
        <f t="array" aca="1" ref="AB44" ca="1">MAX(1, Z44*1000 / DaysPerMonth * X44)</f>
        <v>287.31250661718855</v>
      </c>
      <c r="AC44" s="2" cm="1">
        <f t="array" aca="1" ref="AC44" ca="1">thm_cum($I$8,qi,Di,bi,bf,telf,bterm,tterm)</f>
        <v>669.95015978432571</v>
      </c>
      <c r="AD44" cm="1">
        <f t="array" aca="1" ref="AD44" ca="1">thm_cum_qf($I$5,qi,Di,bi,bf,telf,bterm,tterm)</f>
        <v>733.44093366398499</v>
      </c>
      <c r="AE44" s="2" cm="1">
        <f t="array" aca="1" ref="AE44" ca="1">thm_eur_t($I$8,U44+DaysPerMonth/2,AA44,qi,Di,bi,bf,telf,bterm,tterm)</f>
        <v>633.2861259237684</v>
      </c>
      <c r="AF44" cm="1">
        <f t="array" aca="1" ref="AF44" ca="1">thm_eur_qf($I$5,U44+DaysPerMonth/2,AA44,qi,Di,bi,bf,telf,bterm,tterm)</f>
        <v>696.77689980342768</v>
      </c>
    </row>
    <row r="45" spans="2:32" x14ac:dyDescent="0.25">
      <c r="B45" cm="1">
        <f t="array" ref="B45">B44+log_interval</f>
        <v>0.92103403719761812</v>
      </c>
      <c r="C45">
        <f t="shared" si="1"/>
        <v>2.5118864315095797</v>
      </c>
      <c r="D45">
        <f ca="1"/>
        <v>1116.0280449893601</v>
      </c>
      <c r="E45">
        <f ca="1"/>
        <v>1.0604781489241486E-2</v>
      </c>
      <c r="F45">
        <f ca="1"/>
        <v>2</v>
      </c>
      <c r="G45">
        <f ca="1"/>
        <v>2.8417023455905177</v>
      </c>
      <c r="H45">
        <f t="shared" ca="1" si="2"/>
        <v>2.4711522618330091</v>
      </c>
      <c r="J45" s="5" cm="1">
        <f t="array" aca="1" ref="J45" ca="1">thm_rate($C45,qi,Di,bi,bf,telf,bterm,tterm)</f>
        <v>1116.0280449893601</v>
      </c>
      <c r="K45" s="5" cm="1">
        <f t="array" aca="1" ref="K45" ca="1">thm_D($C45,qi,Di,bi,bf,telf,bterm,tterm)</f>
        <v>1.0604781489241486E-2</v>
      </c>
      <c r="L45" s="3" cm="1">
        <f t="array" aca="1" ref="L45" ca="1">thm_D_eff(C45,qi,Di,bi,bf,telf,bterm,tterm)</f>
        <v>0.6618763264918337</v>
      </c>
      <c r="M45" cm="1">
        <f t="array" aca="1" ref="M45" ca="1">thm_b(C45,qi,Di,bi,bf,telf,bterm,tterm)</f>
        <v>2</v>
      </c>
      <c r="N45" cm="1">
        <f t="array" aca="1" ref="N45" ca="1">thm_monthly_vol(C45,qi,Di,bi,bf,telf,bterm,tterm)</f>
        <v>34.434007070905075</v>
      </c>
      <c r="O45" cm="1">
        <f t="array" aca="1" ref="O45" ca="1">thm_cum($C45,qi,Di,bi,bf,telf,bterm,tterm)</f>
        <v>2.8417023455905177</v>
      </c>
      <c r="Q45" cm="1">
        <f t="array" aca="1" ref="Q45" ca="1">thm_rate(C45,$F$3,$F$4,$F$5,$F$6,$F$7,$F$8,$F$9)</f>
        <v>1011.2661299394191</v>
      </c>
      <c r="U45" s="2" cm="1">
        <f t="array" ref="U45">DaysPerMonth+U44</f>
        <v>471.78125</v>
      </c>
      <c r="V45" s="2">
        <f ca="1">IF(W44, _xlfn.NORM.S.DIST((_xlfn.NORM.S.INV(V44)*$N$8+SQRT(1-$N$8^2)*RAND()), TRUE), RAND())</f>
        <v>0.37591529357772502</v>
      </c>
      <c r="W45" s="2" t="b">
        <f ca="1">V45&lt;$N$7</f>
        <v>0</v>
      </c>
      <c r="X45" s="2">
        <f t="shared" ca="1" si="4"/>
        <v>1.1779999999999999</v>
      </c>
      <c r="Y45" s="2">
        <v>1</v>
      </c>
      <c r="Z45" s="2" cm="1">
        <f t="array" aca="1" ref="Z45" ca="1">thm_monthly_vol(U45,qi,Di,bi,bf,telf,bterm,tterm)*X45*Y45</f>
        <v>9.4665642966710184</v>
      </c>
      <c r="AA45" s="2">
        <f t="shared" ca="1" si="3"/>
        <v>195.35393610661933</v>
      </c>
      <c r="AB45" s="2" cm="1">
        <f t="array" aca="1" ref="AB45" ca="1">MAX(1, Z45*1000 / DaysPerMonth * X45)</f>
        <v>366.37742066459003</v>
      </c>
      <c r="AC45" s="2" cm="1">
        <f t="array" aca="1" ref="AC45" ca="1">thm_cum($I$8,qi,Di,bi,bf,telf,bterm,tterm)</f>
        <v>669.95015978432571</v>
      </c>
      <c r="AD45" cm="1">
        <f t="array" aca="1" ref="AD45" ca="1">thm_cum_qf($I$5,qi,Di,bi,bf,telf,bterm,tterm)</f>
        <v>733.44093366398499</v>
      </c>
      <c r="AE45" s="2" cm="1">
        <f t="array" aca="1" ref="AE45" ca="1">thm_eur_t($I$8,U45+DaysPerMonth/2,AA45,qi,Di,bi,bf,telf,bterm,tterm)</f>
        <v>634.91086808858381</v>
      </c>
      <c r="AF45" cm="1">
        <f t="array" aca="1" ref="AF45" ca="1">thm_eur_qf($I$5,U45+DaysPerMonth/2,AA45,qi,Di,bi,bf,telf,bterm,tterm)</f>
        <v>698.4016419682431</v>
      </c>
    </row>
    <row r="46" spans="2:32" x14ac:dyDescent="0.25">
      <c r="B46" cm="1">
        <f t="array" ref="B46">B45+log_interval</f>
        <v>0.97859866452246924</v>
      </c>
      <c r="C46">
        <f t="shared" si="1"/>
        <v>2.6607250597988092</v>
      </c>
      <c r="D46">
        <f ca="1"/>
        <v>1114.2706647454586</v>
      </c>
      <c r="E46">
        <f ca="1"/>
        <v>1.0571409639396947E-2</v>
      </c>
      <c r="F46">
        <f ca="1"/>
        <v>2</v>
      </c>
      <c r="G46">
        <f ca="1"/>
        <v>3.0076795428551648</v>
      </c>
      <c r="H46">
        <f t="shared" ca="1" si="2"/>
        <v>2.6154864941179898</v>
      </c>
      <c r="J46" s="5" cm="1">
        <f t="array" aca="1" ref="J46" ca="1">thm_rate($C46,qi,Di,bi,bf,telf,bterm,tterm)</f>
        <v>1114.2706647454586</v>
      </c>
      <c r="K46" s="5" cm="1">
        <f t="array" aca="1" ref="K46" ca="1">thm_D($C46,qi,Di,bi,bf,telf,bterm,tterm)</f>
        <v>1.0571409639396947E-2</v>
      </c>
      <c r="L46" s="3" cm="1">
        <f t="array" aca="1" ref="L46" ca="1">thm_D_eff(C46,qi,Di,bi,bf,telf,bterm,tterm)</f>
        <v>0.6614041479812538</v>
      </c>
      <c r="M46" cm="1">
        <f t="array" aca="1" ref="M46" ca="1">thm_b(C46,qi,Di,bi,bf,telf,bterm,tterm)</f>
        <v>2</v>
      </c>
      <c r="N46" cm="1">
        <f t="array" aca="1" ref="N46" ca="1">thm_monthly_vol(C46,qi,Di,bi,bf,telf,bterm,tterm)</f>
        <v>34.406503501183373</v>
      </c>
      <c r="O46" cm="1">
        <f t="array" aca="1" ref="O46" ca="1">thm_cum($C46,qi,Di,bi,bf,telf,bterm,tterm)</f>
        <v>3.0076795428551648</v>
      </c>
      <c r="Q46" cm="1">
        <f t="array" aca="1" ref="Q46" ca="1">thm_rate(C46,$F$3,$F$4,$F$5,$F$6,$F$7,$F$8,$F$9)</f>
        <v>1010.3285262150818</v>
      </c>
      <c r="U46" s="2" cm="1">
        <f t="array" ref="U46">DaysPerMonth+U45</f>
        <v>502.21875</v>
      </c>
      <c r="V46" s="2">
        <f ca="1">IF(W45, _xlfn.NORM.S.DIST((_xlfn.NORM.S.INV(V45)*$N$8+SQRT(1-$N$8^2)*RAND()), TRUE), RAND())</f>
        <v>0.24125529825070124</v>
      </c>
      <c r="W46" s="2" t="b">
        <f ca="1">V46&lt;$N$7</f>
        <v>0</v>
      </c>
      <c r="X46" s="2">
        <f t="shared" ca="1" si="4"/>
        <v>1.1020000000000001</v>
      </c>
      <c r="Y46" s="2">
        <v>1</v>
      </c>
      <c r="Z46" s="2" cm="1">
        <f t="array" aca="1" ref="Z46" ca="1">thm_monthly_vol(U46,qi,Di,bi,bf,telf,bterm,tterm)*X46*Y46</f>
        <v>8.437670340780274</v>
      </c>
      <c r="AA46" s="2">
        <f t="shared" ca="1" si="3"/>
        <v>203.7916064473996</v>
      </c>
      <c r="AB46" s="2" cm="1">
        <f t="array" aca="1" ref="AB46" ca="1">MAX(1, Z46*1000 / DaysPerMonth * X46)</f>
        <v>305.48871344689485</v>
      </c>
      <c r="AC46" s="2" cm="1">
        <f t="array" aca="1" ref="AC46" ca="1">thm_cum($I$8,qi,Di,bi,bf,telf,bterm,tterm)</f>
        <v>669.95015978432571</v>
      </c>
      <c r="AD46" cm="1">
        <f t="array" aca="1" ref="AD46" ca="1">thm_cum_qf($I$5,qi,Di,bi,bf,telf,bterm,tterm)</f>
        <v>733.44093366398499</v>
      </c>
      <c r="AE46" s="2" cm="1">
        <f t="array" aca="1" ref="AE46" ca="1">thm_eur_t($I$8,U46+DaysPerMonth/2,AA46,qi,Di,bi,bf,telf,bterm,tterm)</f>
        <v>635.86844287591668</v>
      </c>
      <c r="AF46" cm="1">
        <f t="array" aca="1" ref="AF46" ca="1">thm_eur_qf($I$5,U46+DaysPerMonth/2,AA46,qi,Di,bi,bf,telf,bterm,tterm)</f>
        <v>699.35921675557597</v>
      </c>
    </row>
    <row r="47" spans="2:32" x14ac:dyDescent="0.25">
      <c r="B47" cm="1">
        <f t="array" ref="B47">B46+log_interval</f>
        <v>1.0361632918473205</v>
      </c>
      <c r="C47">
        <f t="shared" si="1"/>
        <v>2.8183829312644537</v>
      </c>
      <c r="D47">
        <f ca="1"/>
        <v>1112.4181777094714</v>
      </c>
      <c r="E47">
        <f ca="1"/>
        <v>1.0536288692356763E-2</v>
      </c>
      <c r="F47">
        <f ca="1"/>
        <v>2</v>
      </c>
      <c r="G47">
        <f ca="1"/>
        <v>3.1832069330251564</v>
      </c>
      <c r="H47">
        <f t="shared" ca="1" si="2"/>
        <v>2.7681256007103041</v>
      </c>
      <c r="J47" s="5" cm="1">
        <f t="array" aca="1" ref="J47" ca="1">thm_rate($C47,qi,Di,bi,bf,telf,bterm,tterm)</f>
        <v>1112.4181777094714</v>
      </c>
      <c r="K47" s="5" cm="1">
        <f t="array" aca="1" ref="K47" ca="1">thm_D($C47,qi,Di,bi,bf,telf,bterm,tterm)</f>
        <v>1.0536288692356763E-2</v>
      </c>
      <c r="L47" s="3" cm="1">
        <f t="array" aca="1" ref="L47" ca="1">thm_D_eff(C47,qi,Di,bi,bf,telf,bterm,tterm)</f>
        <v>0.66090507885638039</v>
      </c>
      <c r="M47" cm="1">
        <f t="array" aca="1" ref="M47" ca="1">thm_b(C47,qi,Di,bi,bf,telf,bterm,tterm)</f>
        <v>2</v>
      </c>
      <c r="N47" cm="1">
        <f t="array" aca="1" ref="N47" ca="1">thm_monthly_vol(C47,qi,Di,bi,bf,telf,bterm,tterm)</f>
        <v>34.377465158889706</v>
      </c>
      <c r="O47" cm="1">
        <f t="array" aca="1" ref="O47" ca="1">thm_cum($C47,qi,Di,bi,bf,telf,bterm,tterm)</f>
        <v>3.1832069330251564</v>
      </c>
      <c r="Q47" cm="1">
        <f t="array" aca="1" ref="Q47" ca="1">thm_rate(C47,$F$3,$F$4,$F$5,$F$6,$F$7,$F$8,$F$9)</f>
        <v>1009.3372603121329</v>
      </c>
      <c r="U47" s="2" cm="1">
        <f t="array" ref="U47">DaysPerMonth+U46</f>
        <v>532.65625</v>
      </c>
      <c r="V47" s="2">
        <f ca="1">IF(W46, _xlfn.NORM.S.DIST((_xlfn.NORM.S.INV(V46)*$N$8+SQRT(1-$N$8^2)*RAND()), TRUE), RAND())</f>
        <v>0.29447734999051545</v>
      </c>
      <c r="W47" s="2" t="b">
        <f ca="1">V47&lt;$N$7</f>
        <v>0</v>
      </c>
      <c r="X47" s="2">
        <f t="shared" ca="1" si="4"/>
        <v>0.9</v>
      </c>
      <c r="Y47" s="2">
        <v>1</v>
      </c>
      <c r="Z47" s="2" cm="1">
        <f t="array" aca="1" ref="Z47" ca="1">thm_monthly_vol(U47,qi,Di,bi,bf,telf,bterm,tterm)*X47*Y47</f>
        <v>6.580319825473234</v>
      </c>
      <c r="AA47" s="2">
        <f t="shared" ca="1" si="3"/>
        <v>210.37192627287283</v>
      </c>
      <c r="AB47" s="2" cm="1">
        <f t="array" aca="1" ref="AB47" ca="1">MAX(1, Z47*1000 / DaysPerMonth * X47)</f>
        <v>194.57208518853096</v>
      </c>
      <c r="AC47" s="2" cm="1">
        <f t="array" aca="1" ref="AC47" ca="1">thm_cum($I$8,qi,Di,bi,bf,telf,bterm,tterm)</f>
        <v>669.95015978432571</v>
      </c>
      <c r="AD47" cm="1">
        <f t="array" aca="1" ref="AD47" ca="1">thm_cum_qf($I$5,qi,Di,bi,bf,telf,bterm,tterm)</f>
        <v>733.44093366398499</v>
      </c>
      <c r="AE47" s="2" cm="1">
        <f t="array" aca="1" ref="AE47" ca="1">thm_eur_t($I$8,U47+DaysPerMonth/2,AA47,qi,Di,bi,bf,telf,bterm,tterm)</f>
        <v>635.29848867812143</v>
      </c>
      <c r="AF47" cm="1">
        <f t="array" aca="1" ref="AF47" ca="1">thm_eur_qf($I$5,U47+DaysPerMonth/2,AA47,qi,Di,bi,bf,telf,bterm,tterm)</f>
        <v>698.78926255778072</v>
      </c>
    </row>
    <row r="48" spans="2:32" x14ac:dyDescent="0.25">
      <c r="B48" cm="1">
        <f t="array" ref="B48">B47+log_interval</f>
        <v>1.0937279191721716</v>
      </c>
      <c r="C48">
        <f t="shared" si="1"/>
        <v>2.9853826189179595</v>
      </c>
      <c r="D48">
        <f ca="1"/>
        <v>1110.4659656402314</v>
      </c>
      <c r="E48">
        <f ca="1"/>
        <v>1.0499340318517333E-2</v>
      </c>
      <c r="F48">
        <f ca="1"/>
        <v>2</v>
      </c>
      <c r="G48">
        <f ca="1"/>
        <v>3.3688172686794586</v>
      </c>
      <c r="H48">
        <f t="shared" ca="1" si="2"/>
        <v>2.9295328647340804</v>
      </c>
      <c r="J48" s="5" cm="1">
        <f t="array" aca="1" ref="J48" ca="1">thm_rate($C48,qi,Di,bi,bf,telf,bterm,tterm)</f>
        <v>1110.4659656402314</v>
      </c>
      <c r="K48" s="5" cm="1">
        <f t="array" aca="1" ref="K48" ca="1">thm_D($C48,qi,Di,bi,bf,telf,bterm,tterm)</f>
        <v>1.0499340318517333E-2</v>
      </c>
      <c r="L48" s="3" cm="1">
        <f t="array" aca="1" ref="L48" ca="1">thm_D_eff(C48,qi,Di,bi,bf,telf,bterm,tterm)</f>
        <v>0.66037765260818659</v>
      </c>
      <c r="M48" cm="1">
        <f t="array" aca="1" ref="M48" ca="1">thm_b(C48,qi,Di,bi,bf,telf,bterm,tterm)</f>
        <v>2</v>
      </c>
      <c r="N48" cm="1">
        <f t="array" aca="1" ref="N48" ca="1">thm_monthly_vol(C48,qi,Di,bi,bf,telf,bterm,tterm)</f>
        <v>34.346812018553145</v>
      </c>
      <c r="O48" cm="1">
        <f t="array" aca="1" ref="O48" ca="1">thm_cum($C48,qi,Di,bi,bf,telf,bterm,tterm)</f>
        <v>3.3688172686794586</v>
      </c>
      <c r="Q48" cm="1">
        <f t="array" aca="1" ref="Q48" ca="1">thm_rate(C48,$F$3,$F$4,$F$5,$F$6,$F$7,$F$8,$F$9)</f>
        <v>1008.2893774338557</v>
      </c>
      <c r="U48" s="2" cm="1">
        <f t="array" ref="U48">DaysPerMonth+U47</f>
        <v>563.09375</v>
      </c>
      <c r="V48" s="2">
        <f ca="1">IF(W47, _xlfn.NORM.S.DIST((_xlfn.NORM.S.INV(V47)*$N$8+SQRT(1-$N$8^2)*RAND()), TRUE), RAND())</f>
        <v>0.58271101105574308</v>
      </c>
      <c r="W48" s="2" t="b">
        <f ca="1">V48&lt;$N$7</f>
        <v>0</v>
      </c>
      <c r="X48" s="2">
        <f t="shared" ca="1" si="4"/>
        <v>1.0549999999999999</v>
      </c>
      <c r="Y48" s="2">
        <v>1</v>
      </c>
      <c r="Z48" s="2" cm="1">
        <f t="array" aca="1" ref="Z48" ca="1">thm_monthly_vol(U48,qi,Di,bi,bf,telf,bterm,tterm)*X48*Y48</f>
        <v>7.3808188289965475</v>
      </c>
      <c r="AA48" s="2">
        <f t="shared" ca="1" si="3"/>
        <v>217.75274510186938</v>
      </c>
      <c r="AB48" s="2" cm="1">
        <f t="array" aca="1" ref="AB48" ca="1">MAX(1, Z48*1000 / DaysPerMonth * X48)</f>
        <v>255.82797091059902</v>
      </c>
      <c r="AC48" s="2" cm="1">
        <f t="array" aca="1" ref="AC48" ca="1">thm_cum($I$8,qi,Di,bi,bf,telf,bterm,tterm)</f>
        <v>669.95015978432571</v>
      </c>
      <c r="AD48" cm="1">
        <f t="array" aca="1" ref="AD48" ca="1">thm_cum_qf($I$5,qi,Di,bi,bf,telf,bterm,tterm)</f>
        <v>733.44093366398499</v>
      </c>
      <c r="AE48" s="2" cm="1">
        <f t="array" aca="1" ref="AE48" ca="1">thm_eur_t($I$8,U48+DaysPerMonth/2,AA48,qi,Di,bi,bf,telf,bterm,tterm)</f>
        <v>635.83099341143975</v>
      </c>
      <c r="AF48" cm="1">
        <f t="array" aca="1" ref="AF48" ca="1">thm_eur_qf($I$5,U48+DaysPerMonth/2,AA48,qi,Di,bi,bf,telf,bterm,tterm)</f>
        <v>699.32176729109892</v>
      </c>
    </row>
    <row r="49" spans="2:32" x14ac:dyDescent="0.25">
      <c r="B49" cm="1">
        <f t="array" ref="B49">B48+log_interval</f>
        <v>1.1512925464970227</v>
      </c>
      <c r="C49">
        <f t="shared" si="1"/>
        <v>3.1622776601683791</v>
      </c>
      <c r="D49">
        <f ca="1"/>
        <v>1108.40924612546</v>
      </c>
      <c r="E49">
        <f ca="1"/>
        <v>1.0460484196424889E-2</v>
      </c>
      <c r="F49">
        <f ca="1"/>
        <v>2</v>
      </c>
      <c r="G49">
        <f ca="1"/>
        <v>3.5650711111192539</v>
      </c>
      <c r="H49">
        <f t="shared" ca="1" si="2"/>
        <v>3.1001957518556162</v>
      </c>
      <c r="J49" s="5" cm="1">
        <f t="array" aca="1" ref="J49" ca="1">thm_rate($C49,qi,Di,bi,bf,telf,bterm,tterm)</f>
        <v>1108.40924612546</v>
      </c>
      <c r="K49" s="5" cm="1">
        <f t="array" aca="1" ref="K49" ca="1">thm_D($C49,qi,Di,bi,bf,telf,bterm,tterm)</f>
        <v>1.0460484196424889E-2</v>
      </c>
      <c r="L49" s="3" cm="1">
        <f t="array" aca="1" ref="L49" ca="1">thm_D_eff(C49,qi,Di,bi,bf,telf,bterm,tterm)</f>
        <v>0.65982033026341513</v>
      </c>
      <c r="M49" cm="1">
        <f t="array" aca="1" ref="M49" ca="1">thm_b(C49,qi,Di,bi,bf,telf,bterm,tterm)</f>
        <v>2</v>
      </c>
      <c r="N49" cm="1">
        <f t="array" aca="1" ref="N49" ca="1">thm_monthly_vol(C49,qi,Di,bi,bf,telf,bterm,tterm)</f>
        <v>34.314460526819914</v>
      </c>
      <c r="O49" cm="1">
        <f t="array" aca="1" ref="O49" ca="1">thm_cum($C49,qi,Di,bi,bf,telf,bterm,tterm)</f>
        <v>3.5650711111192539</v>
      </c>
      <c r="Q49" cm="1">
        <f t="array" aca="1" ref="Q49" ca="1">thm_rate(C49,$F$3,$F$4,$F$5,$F$6,$F$7,$F$8,$F$9)</f>
        <v>1007.181773991879</v>
      </c>
      <c r="U49" s="2" cm="1">
        <f t="array" ref="U49">DaysPerMonth+U48</f>
        <v>593.53125</v>
      </c>
      <c r="V49" s="2">
        <f ca="1">IF(W48, _xlfn.NORM.S.DIST((_xlfn.NORM.S.INV(V48)*$N$8+SQRT(1-$N$8^2)*RAND()), TRUE), RAND())</f>
        <v>0.8110212623931683</v>
      </c>
      <c r="W49" s="2" t="b">
        <f ca="1">V49&lt;$N$7</f>
        <v>0</v>
      </c>
      <c r="X49" s="2">
        <f t="shared" ca="1" si="4"/>
        <v>0.90200000000000002</v>
      </c>
      <c r="Y49" s="2">
        <v>1</v>
      </c>
      <c r="Z49" s="2" cm="1">
        <f t="array" aca="1" ref="Z49" ca="1">thm_monthly_vol(U49,qi,Di,bi,bf,telf,bterm,tterm)*X49*Y49</f>
        <v>6.0494448837612964</v>
      </c>
      <c r="AA49" s="2">
        <f t="shared" ca="1" si="3"/>
        <v>223.80218998563066</v>
      </c>
      <c r="AB49" s="2" cm="1">
        <f t="array" aca="1" ref="AB49" ca="1">MAX(1, Z49*1000 / DaysPerMonth * X49)</f>
        <v>179.27225577503702</v>
      </c>
      <c r="AC49" s="2" cm="1">
        <f t="array" aca="1" ref="AC49" ca="1">thm_cum($I$8,qi,Di,bi,bf,telf,bterm,tterm)</f>
        <v>669.95015978432571</v>
      </c>
      <c r="AD49" cm="1">
        <f t="array" aca="1" ref="AD49" ca="1">thm_cum_qf($I$5,qi,Di,bi,bf,telf,bterm,tterm)</f>
        <v>733.44093366398499</v>
      </c>
      <c r="AE49" s="2" cm="1">
        <f t="array" aca="1" ref="AE49" ca="1">thm_eur_t($I$8,U49+DaysPerMonth/2,AA49,qi,Di,bi,bf,telf,bterm,tterm)</f>
        <v>635.30961031988772</v>
      </c>
      <c r="AF49" cm="1">
        <f t="array" aca="1" ref="AF49" ca="1">thm_eur_qf($I$5,U49+DaysPerMonth/2,AA49,qi,Di,bi,bf,telf,bterm,tterm)</f>
        <v>698.80038419954701</v>
      </c>
    </row>
    <row r="50" spans="2:32" x14ac:dyDescent="0.25">
      <c r="B50" cm="1">
        <f t="array" ref="B50">B49+log_interval</f>
        <v>1.2088571738218739</v>
      </c>
      <c r="C50">
        <f t="shared" si="1"/>
        <v>3.3496543915782762</v>
      </c>
      <c r="D50">
        <f ca="1"/>
        <v>1106.243073737081</v>
      </c>
      <c r="E50">
        <f ca="1"/>
        <v>1.0419638145055943E-2</v>
      </c>
      <c r="F50">
        <f ca="1"/>
        <v>2</v>
      </c>
      <c r="G50">
        <f ca="1"/>
        <v>3.7725580690692806</v>
      </c>
      <c r="H50">
        <f t="shared" ca="1" si="2"/>
        <v>3.2806269874615084</v>
      </c>
      <c r="J50" s="5" cm="1">
        <f t="array" aca="1" ref="J50" ca="1">thm_rate($C50,qi,Di,bi,bf,telf,bterm,tterm)</f>
        <v>1106.243073737081</v>
      </c>
      <c r="K50" s="5" cm="1">
        <f t="array" aca="1" ref="K50" ca="1">thm_D($C50,qi,Di,bi,bf,telf,bterm,tterm)</f>
        <v>1.0419638145055943E-2</v>
      </c>
      <c r="L50" s="3" cm="1">
        <f t="array" aca="1" ref="L50" ca="1">thm_D_eff(C50,qi,Di,bi,bf,telf,bterm,tterm)</f>
        <v>0.6592314976683753</v>
      </c>
      <c r="M50" cm="1">
        <f t="array" aca="1" ref="M50" ca="1">thm_b(C50,qi,Di,bi,bf,telf,bterm,tterm)</f>
        <v>2</v>
      </c>
      <c r="N50" cm="1">
        <f t="array" aca="1" ref="N50" ca="1">thm_monthly_vol(C50,qi,Di,bi,bf,telf,bterm,tterm)</f>
        <v>34.280323521135685</v>
      </c>
      <c r="O50" cm="1">
        <f t="array" aca="1" ref="O50" ca="1">thm_cum($C50,qi,Di,bi,bf,telf,bterm,tterm)</f>
        <v>3.7725580690692806</v>
      </c>
      <c r="Q50" cm="1">
        <f t="array" aca="1" ref="Q50" ca="1">thm_rate(C50,$F$3,$F$4,$F$5,$F$6,$F$7,$F$8,$F$9)</f>
        <v>1006.0111917886376</v>
      </c>
      <c r="U50" s="2" cm="1">
        <f t="array" ref="U50">DaysPerMonth+U49</f>
        <v>623.96875</v>
      </c>
      <c r="V50" s="2">
        <f ca="1">IF(W49, _xlfn.NORM.S.DIST((_xlfn.NORM.S.INV(V49)*$N$8+SQRT(1-$N$8^2)*RAND()), TRUE), RAND())</f>
        <v>0.36567783610032878</v>
      </c>
      <c r="W50" s="2" t="b">
        <f ca="1">V50&lt;$N$7</f>
        <v>0</v>
      </c>
      <c r="X50" s="2">
        <f t="shared" ca="1" si="4"/>
        <v>1.0529999999999999</v>
      </c>
      <c r="Y50" s="2">
        <v>1</v>
      </c>
      <c r="Z50" s="2" cm="1">
        <f t="array" aca="1" ref="Z50" ca="1">thm_monthly_vol(U50,qi,Di,bi,bf,telf,bterm,tterm)*X50*Y50</f>
        <v>6.7816897372253955</v>
      </c>
      <c r="AA50" s="2">
        <f t="shared" ca="1" si="3"/>
        <v>230.58387972285607</v>
      </c>
      <c r="AB50" s="2" cm="1">
        <f t="array" aca="1" ref="AB50" ca="1">MAX(1, Z50*1000 / DaysPerMonth * X50)</f>
        <v>234.61582893793317</v>
      </c>
      <c r="AC50" s="2" cm="1">
        <f t="array" aca="1" ref="AC50" ca="1">thm_cum($I$8,qi,Di,bi,bf,telf,bterm,tterm)</f>
        <v>669.95015978432571</v>
      </c>
      <c r="AD50" cm="1">
        <f t="array" aca="1" ref="AD50" ca="1">thm_cum_qf($I$5,qi,Di,bi,bf,telf,bterm,tterm)</f>
        <v>733.44093366398499</v>
      </c>
      <c r="AE50" s="2" cm="1">
        <f t="array" aca="1" ref="AE50" ca="1">thm_eur_t($I$8,U50+DaysPerMonth/2,AA50,qi,Di,bi,bf,telf,bterm,tterm)</f>
        <v>635.77634427205135</v>
      </c>
      <c r="AF50" cm="1">
        <f t="array" aca="1" ref="AF50" ca="1">thm_eur_qf($I$5,U50+DaysPerMonth/2,AA50,qi,Di,bi,bf,telf,bterm,tterm)</f>
        <v>699.26711815171052</v>
      </c>
    </row>
    <row r="51" spans="2:32" x14ac:dyDescent="0.25">
      <c r="B51" cm="1">
        <f t="array" ref="B51">B50+log_interval</f>
        <v>1.266421801146725</v>
      </c>
      <c r="C51">
        <f t="shared" si="1"/>
        <v>3.5481338923357542</v>
      </c>
      <c r="D51">
        <f ca="1"/>
        <v>1103.9623421827582</v>
      </c>
      <c r="E51">
        <f ca="1"/>
        <v>1.0376718282972004E-2</v>
      </c>
      <c r="F51">
        <f ca="1"/>
        <v>2</v>
      </c>
      <c r="G51">
        <f ca="1"/>
        <v>3.9918980692693307</v>
      </c>
      <c r="H51">
        <f t="shared" ca="1" si="2"/>
        <v>3.4713656615685502</v>
      </c>
      <c r="J51" s="5" cm="1">
        <f t="array" aca="1" ref="J51" ca="1">thm_rate($C51,qi,Di,bi,bf,telf,bterm,tterm)</f>
        <v>1103.9623421827582</v>
      </c>
      <c r="K51" s="5" cm="1">
        <f t="array" aca="1" ref="K51" ca="1">thm_D($C51,qi,Di,bi,bf,telf,bterm,tterm)</f>
        <v>1.0376718282972004E-2</v>
      </c>
      <c r="L51" s="3" cm="1">
        <f t="array" aca="1" ref="L51" ca="1">thm_D_eff(C51,qi,Di,bi,bf,telf,bterm,tterm)</f>
        <v>0.65860946277308297</v>
      </c>
      <c r="M51" cm="1">
        <f t="array" aca="1" ref="M51" ca="1">thm_b(C51,qi,Di,bi,bf,telf,bterm,tterm)</f>
        <v>2</v>
      </c>
      <c r="N51" cm="1">
        <f t="array" aca="1" ref="N51" ca="1">thm_monthly_vol(C51,qi,Di,bi,bf,telf,bterm,tterm)</f>
        <v>34.244310155781342</v>
      </c>
      <c r="O51" cm="1">
        <f t="array" aca="1" ref="O51" ca="1">thm_cum($C51,qi,Di,bi,bf,telf,bterm,tterm)</f>
        <v>3.9918980692693307</v>
      </c>
      <c r="Q51" cm="1">
        <f t="array" aca="1" ref="Q51" ca="1">thm_rate(C51,$F$3,$F$4,$F$5,$F$6,$F$7,$F$8,$F$9)</f>
        <v>1004.774212183536</v>
      </c>
      <c r="U51" s="2" cm="1">
        <f t="array" ref="U51">DaysPerMonth+U50</f>
        <v>654.40625</v>
      </c>
      <c r="V51" s="2">
        <f ca="1">IF(W50, _xlfn.NORM.S.DIST((_xlfn.NORM.S.INV(V50)*$N$8+SQRT(1-$N$8^2)*RAND()), TRUE), RAND())</f>
        <v>0.30923284039987109</v>
      </c>
      <c r="W51" s="2" t="b">
        <f ca="1">V51&lt;$N$7</f>
        <v>0</v>
      </c>
      <c r="X51" s="2">
        <f t="shared" ca="1" si="4"/>
        <v>0.77100000000000002</v>
      </c>
      <c r="Y51" s="2">
        <v>1</v>
      </c>
      <c r="Z51" s="2" cm="1">
        <f t="array" aca="1" ref="Z51" ca="1">thm_monthly_vol(U51,qi,Di,bi,bf,telf,bterm,tterm)*X51*Y51</f>
        <v>4.7758444121264976</v>
      </c>
      <c r="AA51" s="2">
        <f t="shared" ca="1" si="3"/>
        <v>235.35972413498257</v>
      </c>
      <c r="AB51" s="2" cm="1">
        <f t="array" aca="1" ref="AB51" ca="1">MAX(1, Z51*1000 / DaysPerMonth * X51)</f>
        <v>120.97498289115498</v>
      </c>
      <c r="AC51" s="2" cm="1">
        <f t="array" aca="1" ref="AC51" ca="1">thm_cum($I$8,qi,Di,bi,bf,telf,bterm,tterm)</f>
        <v>669.95015978432571</v>
      </c>
      <c r="AD51" cm="1">
        <f t="array" aca="1" ref="AD51" ca="1">thm_cum_qf($I$5,qi,Di,bi,bf,telf,bterm,tterm)</f>
        <v>733.44093366398499</v>
      </c>
      <c r="AE51" s="2" cm="1">
        <f t="array" aca="1" ref="AE51" ca="1">thm_eur_t($I$8,U51+DaysPerMonth/2,AA51,qi,Di,bi,bf,telf,bterm,tterm)</f>
        <v>634.47392210535577</v>
      </c>
      <c r="AF51" cm="1">
        <f t="array" aca="1" ref="AF51" ca="1">thm_eur_qf($I$5,U51+DaysPerMonth/2,AA51,qi,Di,bi,bf,telf,bterm,tterm)</f>
        <v>697.96469598501506</v>
      </c>
    </row>
    <row r="52" spans="2:32" x14ac:dyDescent="0.25">
      <c r="B52" cm="1">
        <f t="array" ref="B52">B51+log_interval</f>
        <v>1.3239864284715761</v>
      </c>
      <c r="C52">
        <f t="shared" si="1"/>
        <v>3.7583740428844412</v>
      </c>
      <c r="D52">
        <f ca="1"/>
        <v>1101.5617875654696</v>
      </c>
      <c r="E52">
        <f ca="1"/>
        <v>1.0331639216595414E-2</v>
      </c>
      <c r="F52">
        <f ca="1"/>
        <v>2</v>
      </c>
      <c r="G52">
        <f ca="1"/>
        <v>4.2237426571468468</v>
      </c>
      <c r="H52">
        <f t="shared" ca="1" si="2"/>
        <v>3.6729783598922414</v>
      </c>
      <c r="J52" s="5" cm="1">
        <f t="array" aca="1" ref="J52" ca="1">thm_rate($C52,qi,Di,bi,bf,telf,bterm,tterm)</f>
        <v>1101.5617875654696</v>
      </c>
      <c r="K52" s="5" cm="1">
        <f t="array" aca="1" ref="K52" ca="1">thm_D($C52,qi,Di,bi,bf,telf,bterm,tterm)</f>
        <v>1.0331639216595414E-2</v>
      </c>
      <c r="L52" s="3" cm="1">
        <f t="array" aca="1" ref="L52" ca="1">thm_D_eff(C52,qi,Di,bi,bf,telf,bterm,tterm)</f>
        <v>0.6579524529303471</v>
      </c>
      <c r="M52" cm="1">
        <f t="array" aca="1" ref="M52" ca="1">thm_b(C52,qi,Di,bi,bf,telf,bterm,tterm)</f>
        <v>2</v>
      </c>
      <c r="N52" cm="1">
        <f t="array" aca="1" ref="N52" ca="1">thm_monthly_vol(C52,qi,Di,bi,bf,telf,bterm,tterm)</f>
        <v>34.206325836648503</v>
      </c>
      <c r="O52" cm="1">
        <f t="array" aca="1" ref="O52" ca="1">thm_cum($C52,qi,Di,bi,bf,telf,bterm,tterm)</f>
        <v>4.2237426571468468</v>
      </c>
      <c r="Q52" cm="1">
        <f t="array" aca="1" ref="Q52" ca="1">thm_rate(C52,$F$3,$F$4,$F$5,$F$6,$F$7,$F$8,$F$9)</f>
        <v>1003.467250275317</v>
      </c>
      <c r="U52" s="2" cm="1">
        <f t="array" ref="U52">DaysPerMonth+U51</f>
        <v>684.84375</v>
      </c>
      <c r="V52" s="2">
        <f ca="1">IF(W51, _xlfn.NORM.S.DIST((_xlfn.NORM.S.INV(V51)*$N$8+SQRT(1-$N$8^2)*RAND()), TRUE), RAND())</f>
        <v>0.11797679263113936</v>
      </c>
      <c r="W52" s="2" t="b">
        <f ca="1">V52&lt;$N$7</f>
        <v>1</v>
      </c>
      <c r="X52" s="2">
        <f t="shared" ca="1" si="4"/>
        <v>0.49719307145811603</v>
      </c>
      <c r="Y52" s="2">
        <v>1</v>
      </c>
      <c r="Z52" s="2" cm="1">
        <f t="array" aca="1" ref="Z52" ca="1">thm_monthly_vol(U52,qi,Di,bi,bf,telf,bterm,tterm)*X52*Y52</f>
        <v>2.9664794816944102</v>
      </c>
      <c r="AA52" s="2">
        <f t="shared" ca="1" si="3"/>
        <v>238.32620361667699</v>
      </c>
      <c r="AB52" s="2" cm="1">
        <f t="array" aca="1" ref="AB52" ca="1">MAX(1, Z52*1000 / DaysPerMonth * X52)</f>
        <v>48.457102091864442</v>
      </c>
      <c r="AC52" s="2" cm="1">
        <f t="array" aca="1" ref="AC52" ca="1">thm_cum($I$8,qi,Di,bi,bf,telf,bterm,tterm)</f>
        <v>669.95015978432571</v>
      </c>
      <c r="AD52" cm="1">
        <f t="array" aca="1" ref="AD52" ca="1">thm_cum_qf($I$5,qi,Di,bi,bf,telf,bterm,tterm)</f>
        <v>733.44093366398499</v>
      </c>
      <c r="AE52" s="2" cm="1">
        <f t="array" aca="1" ref="AE52" ca="1">thm_eur_t($I$8,U52+DaysPerMonth/2,AA52,qi,Di,bi,bf,telf,bterm,tterm)</f>
        <v>631.58172076281289</v>
      </c>
      <c r="AF52" cm="1">
        <f t="array" aca="1" ref="AF52" ca="1">thm_eur_qf($I$5,U52+DaysPerMonth/2,AA52,qi,Di,bi,bf,telf,bterm,tterm)</f>
        <v>695.07249464247207</v>
      </c>
    </row>
    <row r="53" spans="2:32" x14ac:dyDescent="0.25">
      <c r="B53" cm="1">
        <f t="array" ref="B53">B52+log_interval</f>
        <v>1.3815510557964272</v>
      </c>
      <c r="C53">
        <f t="shared" si="1"/>
        <v>3.9810717055349718</v>
      </c>
      <c r="D53">
        <f ca="1"/>
        <v>1099.0359928678647</v>
      </c>
      <c r="E53">
        <f ca="1"/>
        <v>1.0284314259857538E-2</v>
      </c>
      <c r="F53">
        <f ca="1"/>
        <v>2</v>
      </c>
      <c r="G53">
        <f ca="1"/>
        <v>4.468776325409431</v>
      </c>
      <c r="H53">
        <f t="shared" ca="1" si="2"/>
        <v>3.8860603191945255</v>
      </c>
      <c r="J53" s="5" cm="1">
        <f t="array" aca="1" ref="J53" ca="1">thm_rate($C53,qi,Di,bi,bf,telf,bterm,tterm)</f>
        <v>1099.0359928678647</v>
      </c>
      <c r="K53" s="5" cm="1">
        <f t="array" aca="1" ref="K53" ca="1">thm_D($C53,qi,Di,bi,bf,telf,bterm,tterm)</f>
        <v>1.0284314259857538E-2</v>
      </c>
      <c r="L53" s="3" cm="1">
        <f t="array" aca="1" ref="L53" ca="1">thm_D_eff(C53,qi,Di,bi,bf,telf,bterm,tterm)</f>
        <v>0.65725861222627413</v>
      </c>
      <c r="M53" cm="1">
        <f t="array" aca="1" ref="M53" ca="1">thm_b(C53,qi,Di,bi,bf,telf,bterm,tterm)</f>
        <v>2</v>
      </c>
      <c r="N53" cm="1">
        <f t="array" aca="1" ref="N53" ca="1">thm_monthly_vol(C53,qi,Di,bi,bf,telf,bterm,tterm)</f>
        <v>34.166272166246138</v>
      </c>
      <c r="O53" cm="1">
        <f t="array" aca="1" ref="O53" ca="1">thm_cum($C53,qi,Di,bi,bf,telf,bterm,tterm)</f>
        <v>4.468776325409431</v>
      </c>
      <c r="Q53" cm="1">
        <f t="array" aca="1" ref="Q53" ca="1">thm_rate(C53,$F$3,$F$4,$F$5,$F$6,$F$7,$F$8,$F$9)</f>
        <v>1002.0865491380268</v>
      </c>
      <c r="U53" s="2" cm="1">
        <f t="array" ref="U53">DaysPerMonth+U52</f>
        <v>715.28125</v>
      </c>
      <c r="V53" s="2">
        <f ca="1">IF(W52, _xlfn.NORM.S.DIST((_xlfn.NORM.S.INV(V52)*$N$8+SQRT(1-$N$8^2)*RAND()), TRUE), RAND())</f>
        <v>0.22257173755447399</v>
      </c>
      <c r="W53" s="2" t="b">
        <f ca="1">V53&lt;$N$7</f>
        <v>0</v>
      </c>
      <c r="X53" s="2">
        <f t="shared" ca="1" si="4"/>
        <v>1.0129999999999999</v>
      </c>
      <c r="Y53" s="2">
        <v>1</v>
      </c>
      <c r="Z53" s="2" cm="1">
        <f t="array" aca="1" ref="Z53" ca="1">thm_monthly_vol(U53,qi,Di,bi,bf,telf,bterm,tterm)*X53*Y53</f>
        <v>5.8295441501459093</v>
      </c>
      <c r="AA53" s="2">
        <f t="shared" ca="1" si="3"/>
        <v>244.15574776682291</v>
      </c>
      <c r="AB53" s="2" cm="1">
        <f t="array" aca="1" ref="AB53" ca="1">MAX(1, Z53*1000 / DaysPerMonth * X53)</f>
        <v>194.01489031943507</v>
      </c>
      <c r="AC53" s="2" cm="1">
        <f t="array" aca="1" ref="AC53" ca="1">thm_cum($I$8,qi,Di,bi,bf,telf,bterm,tterm)</f>
        <v>669.95015978432571</v>
      </c>
      <c r="AD53" cm="1">
        <f t="array" aca="1" ref="AD53" ca="1">thm_cum_qf($I$5,qi,Di,bi,bf,telf,bterm,tterm)</f>
        <v>733.44093366398499</v>
      </c>
      <c r="AE53" s="2" cm="1">
        <f t="array" aca="1" ref="AE53" ca="1">thm_eur_t($I$8,U53+DaysPerMonth/2,AA53,qi,Di,bi,bf,telf,bterm,tterm)</f>
        <v>631.75685580141999</v>
      </c>
      <c r="AF53" cm="1">
        <f t="array" aca="1" ref="AF53" ca="1">thm_eur_qf($I$5,U53+DaysPerMonth/2,AA53,qi,Di,bi,bf,telf,bterm,tterm)</f>
        <v>695.24762968107927</v>
      </c>
    </row>
    <row r="54" spans="2:32" x14ac:dyDescent="0.25">
      <c r="B54" cm="1">
        <f t="array" ref="B54">B53+log_interval</f>
        <v>1.4391156831212784</v>
      </c>
      <c r="C54">
        <f t="shared" si="1"/>
        <v>4.2169650342858214</v>
      </c>
      <c r="D54">
        <f ca="1"/>
        <v>1096.3793937822732</v>
      </c>
      <c r="E54">
        <f ca="1"/>
        <v>1.0234655687440699E-2</v>
      </c>
      <c r="F54">
        <f ca="1"/>
        <v>2</v>
      </c>
      <c r="G54">
        <f ca="1"/>
        <v>4.7277178680246266</v>
      </c>
      <c r="H54">
        <f t="shared" ca="1" si="2"/>
        <v>4.1112366047083757</v>
      </c>
      <c r="J54" s="5" cm="1">
        <f t="array" aca="1" ref="J54" ca="1">thm_rate($C54,qi,Di,bi,bf,telf,bterm,tterm)</f>
        <v>1096.3793937822732</v>
      </c>
      <c r="K54" s="5" cm="1">
        <f t="array" aca="1" ref="K54" ca="1">thm_D($C54,qi,Di,bi,bf,telf,bterm,tterm)</f>
        <v>1.0234655687440699E-2</v>
      </c>
      <c r="L54" s="3" cm="1">
        <f t="array" aca="1" ref="L54" ca="1">thm_D_eff(C54,qi,Di,bi,bf,telf,bterm,tterm)</f>
        <v>0.65652599886064289</v>
      </c>
      <c r="M54" cm="1">
        <f t="array" aca="1" ref="M54" ca="1">thm_b(C54,qi,Di,bi,bf,telf,bterm,tterm)</f>
        <v>2</v>
      </c>
      <c r="N54" cm="1">
        <f t="array" aca="1" ref="N54" ca="1">thm_monthly_vol(C54,qi,Di,bi,bf,telf,bterm,tterm)</f>
        <v>34.124046900562035</v>
      </c>
      <c r="O54" cm="1">
        <f t="array" aca="1" ref="O54" ca="1">thm_cum($C54,qi,Di,bi,bf,telf,bterm,tterm)</f>
        <v>4.7277178680246266</v>
      </c>
      <c r="Q54" cm="1">
        <f t="array" aca="1" ref="Q54" ca="1">thm_rate(C54,$F$3,$F$4,$F$5,$F$6,$F$7,$F$8,$F$9)</f>
        <v>1000.6281741533084</v>
      </c>
      <c r="U54" s="2" cm="1">
        <f t="array" ref="U54">DaysPerMonth+U53</f>
        <v>745.71875</v>
      </c>
      <c r="V54" s="2">
        <f ca="1">IF(W53, _xlfn.NORM.S.DIST((_xlfn.NORM.S.INV(V53)*$N$8+SQRT(1-$N$8^2)*RAND()), TRUE), RAND())</f>
        <v>0.16503352791278902</v>
      </c>
      <c r="W54" s="2" t="b">
        <f ca="1">V54&lt;$N$7</f>
        <v>1</v>
      </c>
      <c r="X54" s="2">
        <f t="shared" ca="1" si="4"/>
        <v>0.23590916052254796</v>
      </c>
      <c r="Y54" s="2">
        <v>1</v>
      </c>
      <c r="Z54" s="2" cm="1">
        <f t="array" aca="1" ref="Z54" ca="1">thm_monthly_vol(U54,qi,Di,bi,bf,telf,bterm,tterm)*X54*Y54</f>
        <v>1.3110708029876703</v>
      </c>
      <c r="AA54" s="2">
        <f t="shared" ca="1" si="3"/>
        <v>245.46681856981058</v>
      </c>
      <c r="AB54" s="2" cm="1">
        <f t="array" aca="1" ref="AB54" ca="1">MAX(1, Z54*1000 / DaysPerMonth * X54)</f>
        <v>10.161597125862642</v>
      </c>
      <c r="AC54" s="2" cm="1">
        <f t="array" aca="1" ref="AC54" ca="1">thm_cum($I$8,qi,Di,bi,bf,telf,bterm,tterm)</f>
        <v>669.95015978432571</v>
      </c>
      <c r="AD54" cm="1">
        <f t="array" aca="1" ref="AD54" ca="1">thm_cum_qf($I$5,qi,Di,bi,bf,telf,bterm,tterm)</f>
        <v>733.44093366398499</v>
      </c>
      <c r="AE54" s="2" cm="1">
        <f t="array" aca="1" ref="AE54" ca="1">thm_eur_t($I$8,U54+DaysPerMonth/2,AA54,qi,Di,bi,bf,telf,bterm,tterm)</f>
        <v>627.60402334526509</v>
      </c>
      <c r="AF54" cm="1">
        <f t="array" aca="1" ref="AF54" ca="1">thm_eur_qf($I$5,U54+DaysPerMonth/2,AA54,qi,Di,bi,bf,telf,bterm,tterm)</f>
        <v>691.09479722492438</v>
      </c>
    </row>
    <row r="55" spans="2:32" x14ac:dyDescent="0.25">
      <c r="B55" cm="1">
        <f t="array" ref="B55">B54+log_interval</f>
        <v>1.4966803104461295</v>
      </c>
      <c r="C55">
        <f t="shared" si="1"/>
        <v>4.46683592150963</v>
      </c>
      <c r="D55">
        <f ca="1"/>
        <v>1093.5862860103784</v>
      </c>
      <c r="E55">
        <f ca="1"/>
        <v>1.0182575023765329E-2</v>
      </c>
      <c r="F55">
        <f ca="1"/>
        <v>2</v>
      </c>
      <c r="G55">
        <f ca="1"/>
        <v>5.0013217566590731</v>
      </c>
      <c r="H55">
        <f t="shared" ca="1" si="2"/>
        <v>4.3491633070931108</v>
      </c>
      <c r="J55" s="5" cm="1">
        <f t="array" aca="1" ref="J55" ca="1">thm_rate($C55,qi,Di,bi,bf,telf,bterm,tterm)</f>
        <v>1093.5862860103784</v>
      </c>
      <c r="K55" s="5" cm="1">
        <f t="array" aca="1" ref="K55" ca="1">thm_D($C55,qi,Di,bi,bf,telf,bterm,tterm)</f>
        <v>1.0182575023765329E-2</v>
      </c>
      <c r="L55" s="3" cm="1">
        <f t="array" aca="1" ref="L55" ca="1">thm_D_eff(C55,qi,Di,bi,bf,telf,bterm,tterm)</f>
        <v>0.65575258259771185</v>
      </c>
      <c r="M55" cm="1">
        <f t="array" aca="1" ref="M55" ca="1">thm_b(C55,qi,Di,bi,bf,telf,bterm,tterm)</f>
        <v>2</v>
      </c>
      <c r="N55" cm="1">
        <f t="array" aca="1" ref="N55" ca="1">thm_monthly_vol(C55,qi,Di,bi,bf,telf,bterm,tterm)</f>
        <v>34.079543919505113</v>
      </c>
      <c r="O55" cm="1">
        <f t="array" aca="1" ref="O55" ca="1">thm_cum($C55,qi,Di,bi,bf,telf,bterm,tterm)</f>
        <v>5.0013217566590731</v>
      </c>
      <c r="Q55" cm="1">
        <f t="array" aca="1" ref="Q55" ca="1">thm_rate(C55,$F$3,$F$4,$F$5,$F$6,$F$7,$F$8,$F$9)</f>
        <v>999.08800748759347</v>
      </c>
      <c r="U55" s="2" cm="1">
        <f t="array" ref="U55">DaysPerMonth+U54</f>
        <v>776.15625</v>
      </c>
      <c r="V55" s="2">
        <f ca="1">IF(W54, _xlfn.NORM.S.DIST((_xlfn.NORM.S.INV(V54)*$N$8+SQRT(1-$N$8^2)*RAND()), TRUE), RAND())</f>
        <v>0.25439765415323823</v>
      </c>
      <c r="W55" s="2" t="b">
        <f ca="1">V55&lt;$N$7</f>
        <v>0</v>
      </c>
      <c r="X55" s="2">
        <f t="shared" ca="1" si="4"/>
        <v>1.0029999999999999</v>
      </c>
      <c r="Y55" s="2">
        <v>1</v>
      </c>
      <c r="Z55" s="2" cm="1">
        <f t="array" aca="1" ref="Z55" ca="1">thm_monthly_vol(U55,qi,Di,bi,bf,telf,bterm,tterm)*X55*Y55</f>
        <v>5.3895050004486231</v>
      </c>
      <c r="AA55" s="2">
        <f t="shared" ca="1" si="3"/>
        <v>250.85632357025921</v>
      </c>
      <c r="AB55" s="2" cm="1">
        <f t="array" aca="1" ref="AB55" ca="1">MAX(1, Z55*1000 / DaysPerMonth * X55)</f>
        <v>177.59912987104619</v>
      </c>
      <c r="AC55" s="2" cm="1">
        <f t="array" aca="1" ref="AC55" ca="1">thm_cum($I$8,qi,Di,bi,bf,telf,bterm,tterm)</f>
        <v>669.95015978432571</v>
      </c>
      <c r="AD55" cm="1">
        <f t="array" aca="1" ref="AD55" ca="1">thm_cum_qf($I$5,qi,Di,bi,bf,telf,bterm,tterm)</f>
        <v>733.44093366398499</v>
      </c>
      <c r="AE55" s="2" cm="1">
        <f t="array" aca="1" ref="AE55" ca="1">thm_eur_t($I$8,U55+DaysPerMonth/2,AA55,qi,Di,bi,bf,telf,bterm,tterm)</f>
        <v>627.70771135982875</v>
      </c>
      <c r="AF55" cm="1">
        <f t="array" aca="1" ref="AF55" ca="1">thm_eur_qf($I$5,U55+DaysPerMonth/2,AA55,qi,Di,bi,bf,telf,bterm,tterm)</f>
        <v>691.19848523948804</v>
      </c>
    </row>
    <row r="56" spans="2:32" x14ac:dyDescent="0.25">
      <c r="B56" cm="1">
        <f t="array" ref="B56">B55+log_interval</f>
        <v>1.5542449377709806</v>
      </c>
      <c r="C56">
        <f t="shared" si="1"/>
        <v>4.7315125896148036</v>
      </c>
      <c r="D56">
        <f ca="1"/>
        <v>1090.6508341584104</v>
      </c>
      <c r="E56">
        <f ca="1"/>
        <v>1.0127983369757223E-2</v>
      </c>
      <c r="F56">
        <f ca="1"/>
        <v>2</v>
      </c>
      <c r="G56">
        <f ca="1"/>
        <v>5.2903795362395307</v>
      </c>
      <c r="H56">
        <f t="shared" ca="1" si="2"/>
        <v>4.6005287560181429</v>
      </c>
      <c r="J56" s="5" cm="1">
        <f t="array" aca="1" ref="J56" ca="1">thm_rate($C56,qi,Di,bi,bf,telf,bterm,tterm)</f>
        <v>1090.6508341584104</v>
      </c>
      <c r="K56" s="5" cm="1">
        <f t="array" aca="1" ref="K56" ca="1">thm_D($C56,qi,Di,bi,bf,telf,bterm,tterm)</f>
        <v>1.0127983369757223E-2</v>
      </c>
      <c r="L56" s="3" cm="1">
        <f t="array" aca="1" ref="L56" ca="1">thm_D_eff(C56,qi,Di,bi,bf,telf,bterm,tterm)</f>
        <v>0.65493624231024006</v>
      </c>
      <c r="M56" cm="1">
        <f t="array" aca="1" ref="M56" ca="1">thm_b(C56,qi,Di,bi,bf,telf,bterm,tterm)</f>
        <v>2</v>
      </c>
      <c r="N56" cm="1">
        <f t="array" aca="1" ref="N56" ca="1">thm_monthly_vol(C56,qi,Di,bi,bf,telf,bterm,tterm)</f>
        <v>34.032653212785803</v>
      </c>
      <c r="O56" cm="1">
        <f t="array" aca="1" ref="O56" ca="1">thm_cum($C56,qi,Di,bi,bf,telf,bterm,tterm)</f>
        <v>5.2903795362395307</v>
      </c>
      <c r="Q56" cm="1">
        <f t="array" aca="1" ref="Q56" ca="1">thm_rate(C56,$F$3,$F$4,$F$5,$F$6,$F$7,$F$8,$F$9)</f>
        <v>997.46174276908903</v>
      </c>
      <c r="U56" s="2" cm="1">
        <f t="array" ref="U56">DaysPerMonth+U55</f>
        <v>806.59375</v>
      </c>
      <c r="V56" s="2">
        <f ca="1">IF(W55, _xlfn.NORM.S.DIST((_xlfn.NORM.S.INV(V55)*$N$8+SQRT(1-$N$8^2)*RAND()), TRUE), RAND())</f>
        <v>0.63977617394440645</v>
      </c>
      <c r="W56" s="2" t="b">
        <f ca="1">V56&lt;$N$7</f>
        <v>0</v>
      </c>
      <c r="X56" s="2">
        <f t="shared" ca="1" si="4"/>
        <v>0.99199999999999999</v>
      </c>
      <c r="Y56" s="2">
        <v>1</v>
      </c>
      <c r="Z56" s="2" cm="1">
        <f t="array" aca="1" ref="Z56" ca="1">thm_monthly_vol(U56,qi,Di,bi,bf,telf,bterm,tterm)*X56*Y56</f>
        <v>5.159449253635521</v>
      </c>
      <c r="AA56" s="2">
        <f t="shared" ca="1" si="3"/>
        <v>256.01577282389474</v>
      </c>
      <c r="AB56" s="2" cm="1">
        <f t="array" aca="1" ref="AB56" ca="1">MAX(1, Z56*1000 / DaysPerMonth * X56)</f>
        <v>168.15354939158723</v>
      </c>
      <c r="AC56" s="2" cm="1">
        <f t="array" aca="1" ref="AC56" ca="1">thm_cum($I$8,qi,Di,bi,bf,telf,bterm,tterm)</f>
        <v>669.95015978432571</v>
      </c>
      <c r="AD56" cm="1">
        <f t="array" aca="1" ref="AD56" ca="1">thm_cum_qf($I$5,qi,Di,bi,bf,telf,bterm,tterm)</f>
        <v>733.44093366398499</v>
      </c>
      <c r="AE56" s="2" cm="1">
        <f t="array" aca="1" ref="AE56" ca="1">thm_eur_t($I$8,U56+DaysPerMonth/2,AA56,qi,Di,bi,bf,telf,bterm,tterm)</f>
        <v>627.7481865785478</v>
      </c>
      <c r="AF56" cm="1">
        <f t="array" aca="1" ref="AF56" ca="1">thm_eur_qf($I$5,U56+DaysPerMonth/2,AA56,qi,Di,bi,bf,telf,bterm,tterm)</f>
        <v>691.23896045820709</v>
      </c>
    </row>
    <row r="57" spans="2:32" x14ac:dyDescent="0.25">
      <c r="B57" cm="1">
        <f t="array" ref="B57">B56+log_interval</f>
        <v>1.6118095650958317</v>
      </c>
      <c r="C57">
        <f t="shared" si="1"/>
        <v>5.011872336272722</v>
      </c>
      <c r="D57">
        <f ca="1"/>
        <v>1087.5670823540684</v>
      </c>
      <c r="E57">
        <f ca="1"/>
        <v>1.0070791769259832E-2</v>
      </c>
      <c r="F57">
        <f ca="1"/>
        <v>2</v>
      </c>
      <c r="G57">
        <f ca="1"/>
        <v>5.5957212358707338</v>
      </c>
      <c r="H57">
        <f t="shared" ca="1" si="2"/>
        <v>4.8660547471010638</v>
      </c>
      <c r="J57" s="5" cm="1">
        <f t="array" aca="1" ref="J57" ca="1">thm_rate($C57,qi,Di,bi,bf,telf,bterm,tterm)</f>
        <v>1087.5670823540684</v>
      </c>
      <c r="K57" s="5" cm="1">
        <f t="array" aca="1" ref="K57" ca="1">thm_D($C57,qi,Di,bi,bf,telf,bterm,tterm)</f>
        <v>1.0070791769259832E-2</v>
      </c>
      <c r="L57" s="3" cm="1">
        <f t="array" aca="1" ref="L57" ca="1">thm_D_eff(C57,qi,Di,bi,bf,telf,bterm,tterm)</f>
        <v>0.65407476364182926</v>
      </c>
      <c r="M57" cm="1">
        <f t="array" aca="1" ref="M57" ca="1">thm_b(C57,qi,Di,bi,bf,telf,bterm,tterm)</f>
        <v>2</v>
      </c>
      <c r="N57" cm="1">
        <f t="array" aca="1" ref="N57" ca="1">thm_monthly_vol(C57,qi,Di,bi,bf,telf,bterm,tterm)</f>
        <v>33.98326088319331</v>
      </c>
      <c r="O57" cm="1">
        <f t="array" aca="1" ref="O57" ca="1">thm_cum($C57,qi,Di,bi,bf,telf,bterm,tterm)</f>
        <v>5.5957212358707338</v>
      </c>
      <c r="Q57" cm="1">
        <f t="array" aca="1" ref="Q57" ca="1">thm_rate(C57,$F$3,$F$4,$F$5,$F$6,$F$7,$F$8,$F$9)</f>
        <v>995.7448800263121</v>
      </c>
      <c r="U57" s="2" cm="1">
        <f t="array" ref="U57">DaysPerMonth+U56</f>
        <v>837.03125</v>
      </c>
      <c r="V57" s="2">
        <f ca="1">IF(W56, _xlfn.NORM.S.DIST((_xlfn.NORM.S.INV(V56)*$N$8+SQRT(1-$N$8^2)*RAND()), TRUE), RAND())</f>
        <v>0.85952555199380098</v>
      </c>
      <c r="W57" s="2" t="b">
        <f ca="1">V57&lt;$N$7</f>
        <v>0</v>
      </c>
      <c r="X57" s="2">
        <f t="shared" ca="1" si="4"/>
        <v>1.107</v>
      </c>
      <c r="Y57" s="2">
        <v>1</v>
      </c>
      <c r="Z57" s="2" cm="1">
        <f t="array" aca="1" ref="Z57" ca="1">thm_monthly_vol(U57,qi,Di,bi,bf,telf,bterm,tterm)*X57*Y57</f>
        <v>5.5786614225858973</v>
      </c>
      <c r="AA57" s="2">
        <f t="shared" ca="1" si="3"/>
        <v>261.59443424648066</v>
      </c>
      <c r="AB57" s="2" cm="1">
        <f t="array" aca="1" ref="AB57" ca="1">MAX(1, Z57*1000 / DaysPerMonth * X57)</f>
        <v>202.89373945963328</v>
      </c>
      <c r="AC57" s="2" cm="1">
        <f t="array" aca="1" ref="AC57" ca="1">thm_cum($I$8,qi,Di,bi,bf,telf,bterm,tterm)</f>
        <v>669.95015978432571</v>
      </c>
      <c r="AD57" cm="1">
        <f t="array" aca="1" ref="AD57" ca="1">thm_cum_qf($I$5,qi,Di,bi,bf,telf,bterm,tterm)</f>
        <v>733.44093366398499</v>
      </c>
      <c r="AE57" s="2" cm="1">
        <f t="array" aca="1" ref="AE57" ca="1">thm_eur_t($I$8,U57+DaysPerMonth/2,AA57,qi,Di,bi,bf,telf,bterm,tterm)</f>
        <v>628.36450584880481</v>
      </c>
      <c r="AF57" cm="1">
        <f t="array" aca="1" ref="AF57" ca="1">thm_eur_qf($I$5,U57+DaysPerMonth/2,AA57,qi,Di,bi,bf,telf,bterm,tterm)</f>
        <v>691.8552797284641</v>
      </c>
    </row>
    <row r="58" spans="2:32" x14ac:dyDescent="0.25">
      <c r="B58" cm="1">
        <f t="array" ref="B58">B57+log_interval</f>
        <v>1.6693741924206829</v>
      </c>
      <c r="C58">
        <f t="shared" si="1"/>
        <v>5.3088444423098817</v>
      </c>
      <c r="D58">
        <f ca="1"/>
        <v>1084.328966709897</v>
      </c>
      <c r="E58">
        <f ca="1"/>
        <v>1.0010911616726483E-2</v>
      </c>
      <c r="F58">
        <f ca="1"/>
        <v>2</v>
      </c>
      <c r="G58">
        <f ca="1"/>
        <v>5.9182167909078611</v>
      </c>
      <c r="H58">
        <f t="shared" ca="1" si="2"/>
        <v>5.1464977785458235</v>
      </c>
      <c r="J58" s="5" cm="1">
        <f t="array" aca="1" ref="J58" ca="1">thm_rate($C58,qi,Di,bi,bf,telf,bterm,tterm)</f>
        <v>1084.328966709897</v>
      </c>
      <c r="K58" s="5" cm="1">
        <f t="array" aca="1" ref="K58" ca="1">thm_D($C58,qi,Di,bi,bf,telf,bterm,tterm)</f>
        <v>1.0010911616726483E-2</v>
      </c>
      <c r="L58" s="3" cm="1">
        <f t="array" aca="1" ref="L58" ca="1">thm_D_eff(C58,qi,Di,bi,bf,telf,bterm,tterm)</f>
        <v>0.65316583681511031</v>
      </c>
      <c r="M58" cm="1">
        <f t="array" aca="1" ref="M58" ca="1">thm_b(C58,qi,Di,bi,bf,telf,bterm,tterm)</f>
        <v>2</v>
      </c>
      <c r="N58" cm="1">
        <f t="array" aca="1" ref="N58" ca="1">thm_monthly_vol(C58,qi,Di,bi,bf,telf,bterm,tterm)</f>
        <v>33.931249169335402</v>
      </c>
      <c r="O58" cm="1">
        <f t="array" aca="1" ref="O58" ca="1">thm_cum($C58,qi,Di,bi,bf,telf,bterm,tterm)</f>
        <v>5.9182167909078611</v>
      </c>
      <c r="Q58" cm="1">
        <f t="array" aca="1" ref="Q58" ca="1">thm_rate(C58,$F$3,$F$4,$F$5,$F$6,$F$7,$F$8,$F$9)</f>
        <v>993.93272095729606</v>
      </c>
      <c r="U58" s="2" cm="1">
        <f t="array" ref="U58">DaysPerMonth+U57</f>
        <v>867.46875</v>
      </c>
      <c r="V58" s="2">
        <f ca="1">IF(W57, _xlfn.NORM.S.DIST((_xlfn.NORM.S.INV(V57)*$N$8+SQRT(1-$N$8^2)*RAND()), TRUE), RAND())</f>
        <v>0.97570600832984999</v>
      </c>
      <c r="W58" s="2" t="b">
        <f ca="1">V58&lt;$N$7</f>
        <v>0</v>
      </c>
      <c r="X58" s="2">
        <f t="shared" ca="1" si="4"/>
        <v>1.046</v>
      </c>
      <c r="Y58" s="2">
        <v>1</v>
      </c>
      <c r="Z58" s="2" cm="1">
        <f t="array" aca="1" ref="Z58" ca="1">thm_monthly_vol(U58,qi,Di,bi,bf,telf,bterm,tterm)*X58*Y58</f>
        <v>5.1123948898788401</v>
      </c>
      <c r="AA58" s="2">
        <f t="shared" ca="1" si="3"/>
        <v>266.70682913635949</v>
      </c>
      <c r="AB58" s="2" cm="1">
        <f t="array" aca="1" ref="AB58" ca="1">MAX(1, Z58*1000 / DaysPerMonth * X58)</f>
        <v>175.69002233472747</v>
      </c>
      <c r="AC58" s="2" cm="1">
        <f t="array" aca="1" ref="AC58" ca="1">thm_cum($I$8,qi,Di,bi,bf,telf,bterm,tterm)</f>
        <v>669.95015978432571</v>
      </c>
      <c r="AD58" cm="1">
        <f t="array" aca="1" ref="AD58" ca="1">thm_cum_qf($I$5,qi,Di,bi,bf,telf,bterm,tterm)</f>
        <v>733.44093366398499</v>
      </c>
      <c r="AE58" s="2" cm="1">
        <f t="array" aca="1" ref="AE58" ca="1">thm_eur_t($I$8,U58+DaysPerMonth/2,AA58,qi,Di,bi,bf,telf,bterm,tterm)</f>
        <v>628.66188903556531</v>
      </c>
      <c r="AF58" cm="1">
        <f t="array" aca="1" ref="AF58" ca="1">thm_eur_qf($I$5,U58+DaysPerMonth/2,AA58,qi,Di,bi,bf,telf,bterm,tterm)</f>
        <v>692.1526629152246</v>
      </c>
    </row>
    <row r="59" spans="2:32" x14ac:dyDescent="0.25">
      <c r="B59" cm="1">
        <f t="array" ref="B59">B58+log_interval</f>
        <v>1.726938819745534</v>
      </c>
      <c r="C59">
        <f t="shared" si="1"/>
        <v>5.6234132519034894</v>
      </c>
      <c r="D59">
        <f ca="1"/>
        <v>1080.9303297542449</v>
      </c>
      <c r="E59">
        <f ca="1"/>
        <v>9.9482551075305622E-3</v>
      </c>
      <c r="F59">
        <f ca="1"/>
        <v>2</v>
      </c>
      <c r="G59">
        <f ca="1"/>
        <v>6.2587774715378819</v>
      </c>
      <c r="H59">
        <f t="shared" ca="1" si="2"/>
        <v>5.442650293441039</v>
      </c>
      <c r="J59" s="5" cm="1">
        <f t="array" aca="1" ref="J59" ca="1">thm_rate($C59,qi,Di,bi,bf,telf,bterm,tterm)</f>
        <v>1080.9303297542449</v>
      </c>
      <c r="K59" s="5" cm="1">
        <f t="array" aca="1" ref="K59" ca="1">thm_D($C59,qi,Di,bi,bf,telf,bterm,tterm)</f>
        <v>9.9482551075305622E-3</v>
      </c>
      <c r="L59" s="3" cm="1">
        <f t="array" aca="1" ref="L59" ca="1">thm_D_eff(C59,qi,Di,bi,bf,telf,bterm,tterm)</f>
        <v>0.65220705461579664</v>
      </c>
      <c r="M59" cm="1">
        <f t="array" aca="1" ref="M59" ca="1">thm_b(C59,qi,Di,bi,bf,telf,bterm,tterm)</f>
        <v>2</v>
      </c>
      <c r="N59" cm="1">
        <f t="array" aca="1" ref="N59" ca="1">thm_monthly_vol(C59,qi,Di,bi,bf,telf,bterm,tterm)</f>
        <v>33.876496490001109</v>
      </c>
      <c r="O59" cm="1">
        <f t="array" aca="1" ref="O59" ca="1">thm_cum($C59,qi,Di,bi,bf,telf,bterm,tterm)</f>
        <v>6.2587774715378819</v>
      </c>
      <c r="Q59" cm="1">
        <f t="array" aca="1" ref="Q59" ca="1">thm_rate(C59,$F$3,$F$4,$F$5,$F$6,$F$7,$F$8,$F$9)</f>
        <v>992.0203646064773</v>
      </c>
      <c r="U59" s="2" cm="1">
        <f t="array" ref="U59">DaysPerMonth+U58</f>
        <v>897.90625</v>
      </c>
      <c r="V59" s="2">
        <f ca="1">IF(W58, _xlfn.NORM.S.DIST((_xlfn.NORM.S.INV(V58)*$N$8+SQRT(1-$N$8^2)*RAND()), TRUE), RAND())</f>
        <v>0.73755798948062012</v>
      </c>
      <c r="W59" s="2" t="b">
        <f ca="1">V59&lt;$N$7</f>
        <v>0</v>
      </c>
      <c r="X59" s="2">
        <f t="shared" ca="1" si="4"/>
        <v>1.17</v>
      </c>
      <c r="Y59" s="2">
        <v>1</v>
      </c>
      <c r="Z59" s="2" cm="1">
        <f t="array" aca="1" ref="Z59" ca="1">thm_monthly_vol(U59,qi,Di,bi,bf,telf,bterm,tterm)*X59*Y59</f>
        <v>5.5511578609240786</v>
      </c>
      <c r="AA59" s="2">
        <f t="shared" ca="1" si="3"/>
        <v>272.25798699728358</v>
      </c>
      <c r="AB59" s="2" cm="1">
        <f t="array" aca="1" ref="AB59" ca="1">MAX(1, Z59*1000 / DaysPerMonth * X59)</f>
        <v>213.38331654311858</v>
      </c>
      <c r="AC59" s="2" cm="1">
        <f t="array" aca="1" ref="AC59" ca="1">thm_cum($I$8,qi,Di,bi,bf,telf,bterm,tterm)</f>
        <v>669.95015978432571</v>
      </c>
      <c r="AD59" cm="1">
        <f t="array" aca="1" ref="AD59" ca="1">thm_cum_qf($I$5,qi,Di,bi,bf,telf,bterm,tterm)</f>
        <v>733.44093366398499</v>
      </c>
      <c r="AE59" s="2" cm="1">
        <f t="array" aca="1" ref="AE59" ca="1">thm_eur_t($I$8,U59+DaysPerMonth/2,AA59,qi,Di,bi,bf,telf,bterm,tterm)</f>
        <v>629.5368689084288</v>
      </c>
      <c r="AF59" cm="1">
        <f t="array" aca="1" ref="AF59" ca="1">thm_eur_qf($I$5,U59+DaysPerMonth/2,AA59,qi,Di,bi,bf,telf,bterm,tterm)</f>
        <v>693.02764278808809</v>
      </c>
    </row>
    <row r="60" spans="2:32" x14ac:dyDescent="0.25">
      <c r="B60" cm="1">
        <f t="array" ref="B60">B59+log_interval</f>
        <v>1.7845034470703851</v>
      </c>
      <c r="C60">
        <f t="shared" si="1"/>
        <v>5.9566214352901028</v>
      </c>
      <c r="D60">
        <f ca="1"/>
        <v>1077.3649369448922</v>
      </c>
      <c r="E60">
        <f ca="1"/>
        <v>9.8827357318616894E-3</v>
      </c>
      <c r="F60">
        <f ca="1"/>
        <v>2</v>
      </c>
      <c r="G60">
        <f ca="1"/>
        <v>6.6183573127798878</v>
      </c>
      <c r="H60">
        <f t="shared" ca="1" si="2"/>
        <v>5.75534192329226</v>
      </c>
      <c r="J60" s="5" cm="1">
        <f t="array" aca="1" ref="J60" ca="1">thm_rate($C60,qi,Di,bi,bf,telf,bterm,tterm)</f>
        <v>1077.3649369448922</v>
      </c>
      <c r="K60" s="5" cm="1">
        <f t="array" aca="1" ref="K60" ca="1">thm_D($C60,qi,Di,bi,bf,telf,bterm,tterm)</f>
        <v>9.8827357318616894E-3</v>
      </c>
      <c r="L60" s="3" cm="1">
        <f t="array" aca="1" ref="L60" ca="1">thm_D_eff(C60,qi,Di,bi,bf,telf,bterm,tterm)</f>
        <v>0.65119591058517989</v>
      </c>
      <c r="M60" cm="1">
        <f t="array" aca="1" ref="M60" ca="1">thm_b(C60,qi,Di,bi,bf,telf,bterm,tterm)</f>
        <v>2</v>
      </c>
      <c r="N60" cm="1">
        <f t="array" aca="1" ref="N60" ca="1">thm_monthly_vol(C60,qi,Di,bi,bf,telf,bterm,tterm)</f>
        <v>33.818877512387502</v>
      </c>
      <c r="O60" cm="1">
        <f t="array" aca="1" ref="O60" ca="1">thm_cum($C60,qi,Di,bi,bf,telf,bterm,tterm)</f>
        <v>6.6183573127798878</v>
      </c>
      <c r="Q60" cm="1">
        <f t="array" aca="1" ref="Q60" ca="1">thm_rate(C60,$F$3,$F$4,$F$5,$F$6,$F$7,$F$8,$F$9)</f>
        <v>990.00270353468386</v>
      </c>
      <c r="U60" s="2" cm="1">
        <f t="array" ref="U60">DaysPerMonth+U59</f>
        <v>928.34375</v>
      </c>
      <c r="V60" s="2">
        <f ca="1">IF(W59, _xlfn.NORM.S.DIST((_xlfn.NORM.S.INV(V59)*$N$8+SQRT(1-$N$8^2)*RAND()), TRUE), RAND())</f>
        <v>0.47943478836198972</v>
      </c>
      <c r="W60" s="2" t="b">
        <f ca="1">V60&lt;$N$7</f>
        <v>0</v>
      </c>
      <c r="X60" s="2">
        <f t="shared" ca="1" si="4"/>
        <v>0.91200000000000003</v>
      </c>
      <c r="Y60" s="2">
        <v>1</v>
      </c>
      <c r="Z60" s="2" cm="1">
        <f t="array" aca="1" ref="Z60" ca="1">thm_monthly_vol(U60,qi,Di,bi,bf,telf,bterm,tterm)*X60*Y60</f>
        <v>4.2040655151188568</v>
      </c>
      <c r="AA60" s="2">
        <f t="shared" ca="1" si="3"/>
        <v>276.46205251240247</v>
      </c>
      <c r="AB60" s="2" cm="1">
        <f t="array" aca="1" ref="AB60" ca="1">MAX(1, Z60*1000 / DaysPerMonth * X60)</f>
        <v>125.96657904848945</v>
      </c>
      <c r="AC60" s="2" cm="1">
        <f t="array" aca="1" ref="AC60" ca="1">thm_cum($I$8,qi,Di,bi,bf,telf,bterm,tterm)</f>
        <v>669.95015978432571</v>
      </c>
      <c r="AD60" cm="1">
        <f t="array" aca="1" ref="AD60" ca="1">thm_cum_qf($I$5,qi,Di,bi,bf,telf,bterm,tterm)</f>
        <v>733.44093366398499</v>
      </c>
      <c r="AE60" s="2" cm="1">
        <f t="array" aca="1" ref="AE60" ca="1">thm_eur_t($I$8,U60+DaysPerMonth/2,AA60,qi,Di,bi,bf,telf,bterm,tterm)</f>
        <v>629.19580788840926</v>
      </c>
      <c r="AF60" cm="1">
        <f t="array" aca="1" ref="AF60" ca="1">thm_eur_qf($I$5,U60+DaysPerMonth/2,AA60,qi,Di,bi,bf,telf,bterm,tterm)</f>
        <v>692.68658176806855</v>
      </c>
    </row>
    <row r="61" spans="2:32" x14ac:dyDescent="0.25">
      <c r="B61" cm="1">
        <f t="array" ref="B61">B60+log_interval</f>
        <v>1.8420680743952362</v>
      </c>
      <c r="C61">
        <f t="shared" si="1"/>
        <v>6.3095734448019307</v>
      </c>
      <c r="D61">
        <f ca="1"/>
        <v>1073.6264953716445</v>
      </c>
      <c r="E61">
        <f ca="1"/>
        <v>9.8142688127269492E-3</v>
      </c>
      <c r="F61">
        <f ca="1"/>
        <v>2</v>
      </c>
      <c r="G61">
        <f ca="1"/>
        <v>6.9979545403764236</v>
      </c>
      <c r="H61">
        <f t="shared" ca="1" si="2"/>
        <v>6.0854407279810356</v>
      </c>
      <c r="J61" s="5" cm="1">
        <f t="array" aca="1" ref="J61" ca="1">thm_rate($C61,qi,Di,bi,bf,telf,bterm,tterm)</f>
        <v>1073.6264953716445</v>
      </c>
      <c r="K61" s="5" cm="1">
        <f t="array" aca="1" ref="K61" ca="1">thm_D($C61,qi,Di,bi,bf,telf,bterm,tterm)</f>
        <v>9.8142688127269492E-3</v>
      </c>
      <c r="L61" s="3" cm="1">
        <f t="array" aca="1" ref="L61" ca="1">thm_D_eff(C61,qi,Di,bi,bf,telf,bterm,tterm)</f>
        <v>0.65012979745623101</v>
      </c>
      <c r="M61" cm="1">
        <f t="array" aca="1" ref="M61" ca="1">thm_b(C61,qi,Di,bi,bf,telf,bterm,tterm)</f>
        <v>2</v>
      </c>
      <c r="N61" cm="1">
        <f t="array" aca="1" ref="N61" ca="1">thm_monthly_vol(C61,qi,Di,bi,bf,telf,bterm,tterm)</f>
        <v>33.758263246493343</v>
      </c>
      <c r="O61" cm="1">
        <f t="array" aca="1" ref="O61" ca="1">thm_cum($C61,qi,Di,bi,bf,telf,bterm,tterm)</f>
        <v>6.9979545403764236</v>
      </c>
      <c r="Q61" cm="1">
        <f t="array" aca="1" ref="Q61" ca="1">thm_rate(C61,$F$3,$F$4,$F$5,$F$6,$F$7,$F$8,$F$9)</f>
        <v>987.87442057652663</v>
      </c>
      <c r="U61" s="2" cm="1">
        <f t="array" ref="U61">DaysPerMonth+U60</f>
        <v>958.78125</v>
      </c>
      <c r="V61" s="2">
        <f ca="1">IF(W60, _xlfn.NORM.S.DIST((_xlfn.NORM.S.INV(V60)*$N$8+SQRT(1-$N$8^2)*RAND()), TRUE), RAND())</f>
        <v>0.94521469679232939</v>
      </c>
      <c r="W61" s="2" t="b">
        <f ca="1">V61&lt;$N$7</f>
        <v>0</v>
      </c>
      <c r="X61" s="2">
        <f t="shared" ca="1" si="4"/>
        <v>0.98899999999999999</v>
      </c>
      <c r="Y61" s="2">
        <v>1</v>
      </c>
      <c r="Z61" s="2" cm="1">
        <f t="array" aca="1" ref="Z61" ca="1">thm_monthly_vol(U61,qi,Di,bi,bf,telf,bterm,tterm)*X61*Y61</f>
        <v>4.4330119943511042</v>
      </c>
      <c r="AA61" s="2">
        <f t="shared" ca="1" si="3"/>
        <v>280.89506450675356</v>
      </c>
      <c r="AB61" s="2" cm="1">
        <f t="array" aca="1" ref="AB61" ca="1">MAX(1, Z61*1000 / DaysPerMonth * X61)</f>
        <v>144.04103038729338</v>
      </c>
      <c r="AC61" s="2" cm="1">
        <f t="array" aca="1" ref="AC61" ca="1">thm_cum($I$8,qi,Di,bi,bf,telf,bterm,tterm)</f>
        <v>669.95015978432571</v>
      </c>
      <c r="AD61" cm="1">
        <f t="array" aca="1" ref="AD61" ca="1">thm_cum_qf($I$5,qi,Di,bi,bf,telf,bterm,tterm)</f>
        <v>733.44093366398499</v>
      </c>
      <c r="AE61" s="2" cm="1">
        <f t="array" aca="1" ref="AE61" ca="1">thm_eur_t($I$8,U61+DaysPerMonth/2,AA61,qi,Di,bi,bf,telf,bterm,tterm)</f>
        <v>629.20759908511411</v>
      </c>
      <c r="AF61" cm="1">
        <f t="array" aca="1" ref="AF61" ca="1">thm_eur_qf($I$5,U61+DaysPerMonth/2,AA61,qi,Di,bi,bf,telf,bterm,tterm)</f>
        <v>692.6983729647734</v>
      </c>
    </row>
    <row r="62" spans="2:32" x14ac:dyDescent="0.25">
      <c r="B62" cm="1">
        <f t="array" ref="B62">B61+log_interval</f>
        <v>1.8996327017200874</v>
      </c>
      <c r="C62">
        <f t="shared" si="1"/>
        <v>6.6834391756861438</v>
      </c>
      <c r="D62">
        <f ca="1"/>
        <v>1069.7086747423102</v>
      </c>
      <c r="E62">
        <f ca="1"/>
        <v>9.7427720880436663E-3</v>
      </c>
      <c r="F62">
        <f ca="1"/>
        <v>2</v>
      </c>
      <c r="G62">
        <f ca="1"/>
        <v>7.3986129866243378</v>
      </c>
      <c r="H62">
        <f t="shared" ca="1" si="2"/>
        <v>6.4338544269753566</v>
      </c>
      <c r="J62" s="5" cm="1">
        <f t="array" aca="1" ref="J62" ca="1">thm_rate($C62,qi,Di,bi,bf,telf,bterm,tterm)</f>
        <v>1069.7086747423102</v>
      </c>
      <c r="K62" s="5" cm="1">
        <f t="array" aca="1" ref="K62" ca="1">thm_D($C62,qi,Di,bi,bf,telf,bterm,tterm)</f>
        <v>9.7427720880436663E-3</v>
      </c>
      <c r="L62" s="3" cm="1">
        <f t="array" aca="1" ref="L62" ca="1">thm_D_eff(C62,qi,Di,bi,bf,telf,bterm,tterm)</f>
        <v>0.6490060058710696</v>
      </c>
      <c r="M62" cm="1">
        <f t="array" aca="1" ref="M62" ca="1">thm_b(C62,qi,Di,bi,bf,telf,bterm,tterm)</f>
        <v>2</v>
      </c>
      <c r="N62" cm="1">
        <f t="array" aca="1" ref="N62" ca="1">thm_monthly_vol(C62,qi,Di,bi,bf,telf,bterm,tterm)</f>
        <v>33.694521168027087</v>
      </c>
      <c r="O62" cm="1">
        <f t="array" aca="1" ref="O62" ca="1">thm_cum($C62,qi,Di,bi,bf,telf,bterm,tterm)</f>
        <v>7.3986129866243378</v>
      </c>
      <c r="Q62" cm="1">
        <f t="array" aca="1" ref="Q62" ca="1">thm_rate(C62,$F$3,$F$4,$F$5,$F$6,$F$7,$F$8,$F$9)</f>
        <v>985.62998628884111</v>
      </c>
      <c r="U62" s="2" cm="1">
        <f t="array" ref="U62">DaysPerMonth+U61</f>
        <v>989.21875</v>
      </c>
      <c r="V62" s="2">
        <f ca="1">IF(W61, _xlfn.NORM.S.DIST((_xlfn.NORM.S.INV(V61)*$N$8+SQRT(1-$N$8^2)*RAND()), TRUE), RAND())</f>
        <v>0.61179160134327004</v>
      </c>
      <c r="W62" s="2" t="b">
        <f ca="1">V62&lt;$N$7</f>
        <v>0</v>
      </c>
      <c r="X62" s="2">
        <f t="shared" ca="1" si="4"/>
        <v>0.96099999999999997</v>
      </c>
      <c r="Y62" s="2">
        <v>1</v>
      </c>
      <c r="Z62" s="2" cm="1">
        <f t="array" aca="1" ref="Z62" ca="1">thm_monthly_vol(U62,qi,Di,bi,bf,telf,bterm,tterm)*X62*Y62</f>
        <v>4.1916584517861457</v>
      </c>
      <c r="AA62" s="2">
        <f t="shared" ca="1" si="3"/>
        <v>285.08672295853972</v>
      </c>
      <c r="AB62" s="2" cm="1">
        <f t="array" aca="1" ref="AB62" ca="1">MAX(1, Z62*1000 / DaysPerMonth * X62)</f>
        <v>132.34279333606523</v>
      </c>
      <c r="AC62" s="2" cm="1">
        <f t="array" aca="1" ref="AC62" ca="1">thm_cum($I$8,qi,Di,bi,bf,telf,bterm,tterm)</f>
        <v>669.95015978432571</v>
      </c>
      <c r="AD62" cm="1">
        <f t="array" aca="1" ref="AD62" ca="1">thm_cum_qf($I$5,qi,Di,bi,bf,telf,bterm,tterm)</f>
        <v>733.44093366398499</v>
      </c>
      <c r="AE62" s="2" cm="1">
        <f t="array" aca="1" ref="AE62" ca="1">thm_eur_t($I$8,U62+DaysPerMonth/2,AA62,qi,Di,bi,bf,telf,bterm,tterm)</f>
        <v>629.09536572517504</v>
      </c>
      <c r="AF62" cm="1">
        <f t="array" aca="1" ref="AF62" ca="1">thm_eur_qf($I$5,U62+DaysPerMonth/2,AA62,qi,Di,bi,bf,telf,bterm,tterm)</f>
        <v>692.58613960483444</v>
      </c>
    </row>
    <row r="63" spans="2:32" x14ac:dyDescent="0.25">
      <c r="B63" cm="1">
        <f t="array" ref="B63">B62+log_interval</f>
        <v>1.9571973290449385</v>
      </c>
      <c r="C63">
        <f t="shared" si="1"/>
        <v>7.0794578438413769</v>
      </c>
      <c r="D63">
        <f ca="1"/>
        <v>1065.6051307312212</v>
      </c>
      <c r="E63">
        <f ca="1"/>
        <v>9.6681663361903106E-3</v>
      </c>
      <c r="F63">
        <f ca="1"/>
        <v>2</v>
      </c>
      <c r="G63">
        <f ca="1"/>
        <v>7.8214234897923305</v>
      </c>
      <c r="H63">
        <f t="shared" ca="1" si="2"/>
        <v>6.8015316162670514</v>
      </c>
      <c r="J63" s="5" cm="1">
        <f t="array" aca="1" ref="J63" ca="1">thm_rate($C63,qi,Di,bi,bf,telf,bterm,tterm)</f>
        <v>1065.6051307312212</v>
      </c>
      <c r="K63" s="5" cm="1">
        <f t="array" aca="1" ref="K63" ca="1">thm_D($C63,qi,Di,bi,bf,telf,bterm,tterm)</f>
        <v>9.6681663361903106E-3</v>
      </c>
      <c r="L63" s="3" cm="1">
        <f t="array" aca="1" ref="L63" ca="1">thm_D_eff(C63,qi,Di,bi,bf,telf,bterm,tterm)</f>
        <v>0.64782172342013578</v>
      </c>
      <c r="M63" cm="1">
        <f t="array" aca="1" ref="M63" ca="1">thm_b(C63,qi,Di,bi,bf,telf,bterm,tterm)</f>
        <v>2</v>
      </c>
      <c r="N63" cm="1">
        <f t="array" aca="1" ref="N63" ca="1">thm_monthly_vol(C63,qi,Di,bi,bf,telf,bterm,tterm)</f>
        <v>33.627515372190999</v>
      </c>
      <c r="O63" cm="1">
        <f t="array" aca="1" ref="O63" ca="1">thm_cum($C63,qi,Di,bi,bf,telf,bterm,tterm)</f>
        <v>7.8214234897923305</v>
      </c>
      <c r="Q63" cm="1">
        <f t="array" aca="1" ref="Q63" ca="1">thm_rate(C63,$F$3,$F$4,$F$5,$F$6,$F$7,$F$8,$F$9)</f>
        <v>983.26365720356432</v>
      </c>
      <c r="U63" s="2" cm="1">
        <f t="array" ref="U63">DaysPerMonth+U62</f>
        <v>1019.65625</v>
      </c>
      <c r="V63" s="2">
        <f ca="1">IF(W62, _xlfn.NORM.S.DIST((_xlfn.NORM.S.INV(V62)*$N$8+SQRT(1-$N$8^2)*RAND()), TRUE), RAND())</f>
        <v>3.0476983779597178E-2</v>
      </c>
      <c r="W63" s="2" t="b">
        <f ca="1">V63&lt;$N$7</f>
        <v>1</v>
      </c>
      <c r="X63" s="2">
        <f t="shared" ca="1" si="4"/>
        <v>4.418290902934438E-2</v>
      </c>
      <c r="Y63" s="2">
        <v>1</v>
      </c>
      <c r="Z63" s="2" cm="1">
        <f t="array" aca="1" ref="Z63" ca="1">thm_monthly_vol(U63,qi,Di,bi,bf,telf,bterm,tterm)*X63*Y63</f>
        <v>0.18766832440040332</v>
      </c>
      <c r="AA63" s="2">
        <f t="shared" ca="1" si="3"/>
        <v>285.27439128294014</v>
      </c>
      <c r="AB63" s="2" cm="1">
        <f t="array" aca="1" ref="AB63" ca="1">MAX(1, Z63*1000 / DaysPerMonth * X63)</f>
        <v>1</v>
      </c>
      <c r="AC63" s="2" cm="1">
        <f t="array" aca="1" ref="AC63" ca="1">thm_cum($I$8,qi,Di,bi,bf,telf,bterm,tterm)</f>
        <v>669.95015978432571</v>
      </c>
      <c r="AD63" cm="1">
        <f t="array" aca="1" ref="AD63" ca="1">thm_cum_qf($I$5,qi,Di,bi,bf,telf,bterm,tterm)</f>
        <v>733.44093366398499</v>
      </c>
      <c r="AE63" s="2" cm="1">
        <f t="array" aca="1" ref="AE63" ca="1">thm_eur_t($I$8,U63+DaysPerMonth/2,AA63,qi,Di,bi,bf,telf,bterm,tterm)</f>
        <v>625.09040459096786</v>
      </c>
      <c r="AF63" cm="1">
        <f t="array" aca="1" ref="AF63" ca="1">thm_eur_qf($I$5,U63+DaysPerMonth/2,AA63,qi,Di,bi,bf,telf,bterm,tterm)</f>
        <v>688.58117847062726</v>
      </c>
    </row>
    <row r="64" spans="2:32" x14ac:dyDescent="0.25">
      <c r="B64" cm="1">
        <f t="array" ref="B64">B63+log_interval</f>
        <v>2.0147619563697896</v>
      </c>
      <c r="C64">
        <f t="shared" si="1"/>
        <v>7.4989420933245556</v>
      </c>
      <c r="D64">
        <f ca="1"/>
        <v>1061.3095307505414</v>
      </c>
      <c r="E64">
        <f ca="1"/>
        <v>9.5903760436733664E-3</v>
      </c>
      <c r="F64">
        <f ca="1"/>
        <v>2</v>
      </c>
      <c r="G64">
        <f ca="1"/>
        <v>8.2675252704048265</v>
      </c>
      <c r="H64">
        <f t="shared" ca="1" si="2"/>
        <v>7.1894629651920647</v>
      </c>
      <c r="J64" s="5" cm="1">
        <f t="array" aca="1" ref="J64" ca="1">thm_rate($C64,qi,Di,bi,bf,telf,bterm,tterm)</f>
        <v>1061.3095307505414</v>
      </c>
      <c r="K64" s="5" cm="1">
        <f t="array" aca="1" ref="K64" ca="1">thm_D($C64,qi,Di,bi,bf,telf,bterm,tterm)</f>
        <v>9.5903760436733664E-3</v>
      </c>
      <c r="L64" s="3" cm="1">
        <f t="array" aca="1" ref="L64" ca="1">thm_D_eff(C64,qi,Di,bi,bf,telf,bterm,tterm)</f>
        <v>0.6465740340459083</v>
      </c>
      <c r="M64" cm="1">
        <f t="array" aca="1" ref="M64" ca="1">thm_b(C64,qi,Di,bi,bf,telf,bterm,tterm)</f>
        <v>2</v>
      </c>
      <c r="N64" cm="1">
        <f t="array" aca="1" ref="N64" ca="1">thm_monthly_vol(C64,qi,Di,bi,bf,telf,bterm,tterm)</f>
        <v>33.557106760693017</v>
      </c>
      <c r="O64" cm="1">
        <f t="array" aca="1" ref="O64" ca="1">thm_cum($C64,qi,Di,bi,bf,telf,bterm,tterm)</f>
        <v>8.2675252704048265</v>
      </c>
      <c r="Q64" cm="1">
        <f t="array" aca="1" ref="Q64" ca="1">thm_rate(C64,$F$3,$F$4,$F$5,$F$6,$F$7,$F$8,$F$9)</f>
        <v>980.76947500850133</v>
      </c>
      <c r="U64" s="2"/>
      <c r="V64" s="2"/>
      <c r="W64" s="2"/>
      <c r="X64" s="2"/>
      <c r="Y64" s="2"/>
      <c r="Z64" s="2"/>
      <c r="AA64" s="2"/>
    </row>
    <row r="65" spans="2:27" x14ac:dyDescent="0.25">
      <c r="B65" cm="1">
        <f t="array" ref="B65">B64+log_interval</f>
        <v>2.072326583694641</v>
      </c>
      <c r="C65">
        <f t="shared" si="1"/>
        <v>7.943282347242814</v>
      </c>
      <c r="D65">
        <f ca="1"/>
        <v>1056.8155821817941</v>
      </c>
      <c r="E65">
        <f ca="1"/>
        <v>9.5093301127705584E-3</v>
      </c>
      <c r="F65">
        <f ca="1"/>
        <v>2</v>
      </c>
      <c r="G65">
        <f ca="1"/>
        <v>8.7381072773467299</v>
      </c>
      <c r="H65">
        <f t="shared" ca="1" si="2"/>
        <v>7.598682387006896</v>
      </c>
      <c r="J65" s="5" cm="1">
        <f t="array" aca="1" ref="J65" ca="1">thm_rate($C65,qi,Di,bi,bf,telf,bterm,tterm)</f>
        <v>1056.8155821817941</v>
      </c>
      <c r="K65" s="5" cm="1">
        <f t="array" aca="1" ref="K65" ca="1">thm_D($C65,qi,Di,bi,bf,telf,bterm,tterm)</f>
        <v>9.5093301127705584E-3</v>
      </c>
      <c r="L65" s="3" cm="1">
        <f t="array" aca="1" ref="L65" ca="1">thm_D_eff(C65,qi,Di,bi,bf,telf,bterm,tterm)</f>
        <v>0.64525991785642267</v>
      </c>
      <c r="M65" cm="1">
        <f t="array" aca="1" ref="M65" ca="1">thm_b(C65,qi,Di,bi,bf,telf,bterm,tterm)</f>
        <v>2</v>
      </c>
      <c r="N65" cm="1">
        <f t="array" aca="1" ref="N65" ca="1">thm_monthly_vol(C65,qi,Di,bi,bf,telf,bterm,tterm)</f>
        <v>33.483153264287573</v>
      </c>
      <c r="O65" cm="1">
        <f t="array" aca="1" ref="O65" ca="1">thm_cum($C65,qi,Di,bi,bf,telf,bterm,tterm)</f>
        <v>8.7381072773467299</v>
      </c>
      <c r="Q65" cm="1">
        <f t="array" aca="1" ref="Q65" ca="1">thm_rate(C65,$F$3,$F$4,$F$5,$F$6,$F$7,$F$8,$F$9)</f>
        <v>978.14126678973878</v>
      </c>
      <c r="U65" s="2"/>
      <c r="V65" s="2"/>
      <c r="W65" s="2"/>
      <c r="X65" s="2"/>
      <c r="Y65" s="2"/>
      <c r="Z65" s="2"/>
      <c r="AA65" s="2"/>
    </row>
    <row r="66" spans="2:27" x14ac:dyDescent="0.25">
      <c r="B66" cm="1">
        <f t="array" ref="B66">B65+log_interval</f>
        <v>2.1298912110194923</v>
      </c>
      <c r="C66">
        <f t="shared" si="1"/>
        <v>8.4139514164519511</v>
      </c>
      <c r="D66">
        <f ca="1"/>
        <v>1052.1170630781398</v>
      </c>
      <c r="E66">
        <f ca="1"/>
        <v>9.424962606127945E-3</v>
      </c>
      <c r="F66">
        <f ca="1"/>
        <v>2</v>
      </c>
      <c r="G66">
        <f ca="1"/>
        <v>9.2344094964745906</v>
      </c>
      <c r="H66">
        <f t="shared" ca="1" si="2"/>
        <v>8.0302681768605115</v>
      </c>
      <c r="J66" s="5" cm="1">
        <f t="array" aca="1" ref="J66" ca="1">thm_rate($C66,qi,Di,bi,bf,telf,bterm,tterm)</f>
        <v>1052.1170630781398</v>
      </c>
      <c r="K66" s="5" cm="1">
        <f t="array" aca="1" ref="K66" ca="1">thm_D($C66,qi,Di,bi,bf,telf,bterm,tterm)</f>
        <v>9.424962606127945E-3</v>
      </c>
      <c r="L66" s="3" cm="1">
        <f t="array" aca="1" ref="L66" ca="1">thm_D_eff(C66,qi,Di,bi,bf,telf,bterm,tterm)</f>
        <v>0.64387625139609894</v>
      </c>
      <c r="M66" cm="1">
        <f t="array" aca="1" ref="M66" ca="1">thm_b(C66,qi,Di,bi,bf,telf,bterm,tterm)</f>
        <v>2</v>
      </c>
      <c r="N66" cm="1">
        <f t="array" aca="1" ref="N66" ca="1">thm_monthly_vol(C66,qi,Di,bi,bf,telf,bterm,tterm)</f>
        <v>33.405510103060443</v>
      </c>
      <c r="O66" cm="1">
        <f t="array" aca="1" ref="O66" ca="1">thm_cum($C66,qi,Di,bi,bf,telf,bterm,tterm)</f>
        <v>9.2344094964745906</v>
      </c>
      <c r="Q66" cm="1">
        <f t="array" aca="1" ref="Q66" ca="1">thm_rate(C66,$F$3,$F$4,$F$5,$F$6,$F$7,$F$8,$F$9)</f>
        <v>975.37264647987149</v>
      </c>
      <c r="U66" s="2"/>
      <c r="V66" s="2"/>
      <c r="W66" s="2"/>
      <c r="X66" s="2"/>
      <c r="Y66" s="2"/>
      <c r="Z66" s="2"/>
      <c r="AA66" s="2"/>
    </row>
    <row r="67" spans="2:27" x14ac:dyDescent="0.25">
      <c r="B67" cm="1">
        <f t="array" ref="B67">B66+log_interval</f>
        <v>2.1874558383443437</v>
      </c>
      <c r="C67">
        <f t="shared" si="1"/>
        <v>8.9125093813374576</v>
      </c>
      <c r="D67">
        <f ca="1"/>
        <v>1047.2078553168785</v>
      </c>
      <c r="E67">
        <f ca="1"/>
        <v>9.3372135243259859E-3</v>
      </c>
      <c r="F67">
        <f ca="1"/>
        <v>2</v>
      </c>
      <c r="G67">
        <f ca="1"/>
        <v>9.7577242142176939</v>
      </c>
      <c r="H67">
        <f t="shared" ca="1" si="2"/>
        <v>8.4853441106253626</v>
      </c>
      <c r="J67" s="5" cm="1">
        <f t="array" aca="1" ref="J67" ca="1">thm_rate($C67,qi,Di,bi,bf,telf,bterm,tterm)</f>
        <v>1047.2078553168785</v>
      </c>
      <c r="K67" s="5" cm="1">
        <f t="array" aca="1" ref="K67" ca="1">thm_D($C67,qi,Di,bi,bf,telf,bterm,tterm)</f>
        <v>9.3372135243259859E-3</v>
      </c>
      <c r="L67" s="3" cm="1">
        <f t="array" aca="1" ref="L67" ca="1">thm_D_eff(C67,qi,Di,bi,bf,telf,bterm,tterm)</f>
        <v>0.64241980842345381</v>
      </c>
      <c r="M67" cm="1">
        <f t="array" aca="1" ref="M67" ca="1">thm_b(C67,qi,Di,bi,bf,telf,bterm,tterm)</f>
        <v>2</v>
      </c>
      <c r="N67" cm="1">
        <f t="array" aca="1" ref="N67" ca="1">thm_monthly_vol(C67,qi,Di,bi,bf,telf,bterm,tterm)</f>
        <v>33.324030086539054</v>
      </c>
      <c r="O67" cm="1">
        <f t="array" aca="1" ref="O67" ca="1">thm_cum($C67,qi,Di,bi,bf,telf,bterm,tterm)</f>
        <v>9.7577242142176939</v>
      </c>
      <c r="Q67" cm="1">
        <f t="array" aca="1" ref="Q67" ca="1">thm_rate(C67,$F$3,$F$4,$F$5,$F$6,$F$7,$F$8,$F$9)</f>
        <v>972.45701766659488</v>
      </c>
      <c r="U67" s="2"/>
      <c r="V67" s="2"/>
      <c r="W67" s="2"/>
      <c r="X67" s="2"/>
      <c r="Y67" s="2"/>
      <c r="Z67" s="2"/>
      <c r="AA67" s="2"/>
    </row>
    <row r="68" spans="2:27" x14ac:dyDescent="0.25">
      <c r="B68" cm="1">
        <f t="array" ref="B68">B67+log_interval</f>
        <v>2.245020465669195</v>
      </c>
      <c r="C68">
        <f t="shared" si="1"/>
        <v>9.4406087628592381</v>
      </c>
      <c r="D68">
        <f ca="1"/>
        <v>1042.0819801463585</v>
      </c>
      <c r="E68">
        <f ca="1"/>
        <v>9.2460296113975951E-3</v>
      </c>
      <c r="F68">
        <f ca="1"/>
        <v>2</v>
      </c>
      <c r="G68">
        <f ca="1"/>
        <v>10.309397228532232</v>
      </c>
      <c r="H68">
        <f t="shared" ca="1" si="2"/>
        <v>8.9650804979465022</v>
      </c>
      <c r="J68" s="5" cm="1">
        <f t="array" aca="1" ref="J68" ca="1">thm_rate($C68,qi,Di,bi,bf,telf,bterm,tterm)</f>
        <v>1042.0819801463585</v>
      </c>
      <c r="K68" s="5" cm="1">
        <f t="array" aca="1" ref="K68" ca="1">thm_D($C68,qi,Di,bi,bf,telf,bterm,tterm)</f>
        <v>9.2460296113975951E-3</v>
      </c>
      <c r="L68" s="3" cm="1">
        <f t="array" aca="1" ref="L68" ca="1">thm_D_eff(C68,qi,Di,bi,bf,telf,bterm,tterm)</f>
        <v>0.64088726124707118</v>
      </c>
      <c r="M68" cm="1">
        <f t="array" aca="1" ref="M68" ca="1">thm_b(C68,qi,Di,bi,bf,telf,bterm,tterm)</f>
        <v>2</v>
      </c>
      <c r="N68" cm="1">
        <f t="array" aca="1" ref="N68" ca="1">thm_monthly_vol(C68,qi,Di,bi,bf,telf,bterm,tterm)</f>
        <v>33.238563955531703</v>
      </c>
      <c r="O68" cm="1">
        <f t="array" aca="1" ref="O68" ca="1">thm_cum($C68,qi,Di,bi,bf,telf,bterm,tterm)</f>
        <v>10.309397228532232</v>
      </c>
      <c r="Q68" cm="1">
        <f t="array" aca="1" ref="Q68" ca="1">thm_rate(C68,$F$3,$F$4,$F$5,$F$6,$F$7,$F$8,$F$9)</f>
        <v>969.38757792638307</v>
      </c>
      <c r="U68" s="2"/>
      <c r="V68" s="2"/>
      <c r="W68" s="2"/>
      <c r="X68" s="2"/>
      <c r="Y68" s="2"/>
      <c r="Z68" s="2"/>
      <c r="AA68" s="2"/>
    </row>
    <row r="69" spans="2:27" x14ac:dyDescent="0.25">
      <c r="B69" cm="1">
        <f t="array" ref="B69">B68+log_interval</f>
        <v>2.3025850929940463</v>
      </c>
      <c r="C69">
        <f t="shared" si="1"/>
        <v>10.000000000000007</v>
      </c>
      <c r="D69">
        <f ca="1"/>
        <v>1036.7336360321333</v>
      </c>
      <c r="E69">
        <f ca="1"/>
        <v>9.1513651821928891E-3</v>
      </c>
      <c r="F69">
        <f ca="1"/>
        <v>2</v>
      </c>
      <c r="G69">
        <f ca="1"/>
        <v>10.890828999543411</v>
      </c>
      <c r="H69">
        <f t="shared" ca="1" si="2"/>
        <v>9.4706951828431603</v>
      </c>
      <c r="J69" s="5" cm="1">
        <f t="array" aca="1" ref="J69" ca="1">thm_rate($C69,qi,Di,bi,bf,telf,bterm,tterm)</f>
        <v>1036.7336360321333</v>
      </c>
      <c r="K69" s="5" cm="1">
        <f t="array" aca="1" ref="K69" ca="1">thm_D($C69,qi,Di,bi,bf,telf,bterm,tterm)</f>
        <v>9.1513651821928891E-3</v>
      </c>
      <c r="L69" s="3" cm="1">
        <f t="array" aca="1" ref="L69" ca="1">thm_D_eff(C69,qi,Di,bi,bf,telf,bterm,tterm)</f>
        <v>0.63927518267270744</v>
      </c>
      <c r="M69" cm="1">
        <f t="array" aca="1" ref="M69" ca="1">thm_b(C69,qi,Di,bi,bf,telf,bterm,tterm)</f>
        <v>2</v>
      </c>
      <c r="N69" cm="1">
        <f t="array" aca="1" ref="N69" ca="1">thm_monthly_vol(C69,qi,Di,bi,bf,telf,bterm,tterm)</f>
        <v>33.148960767360236</v>
      </c>
      <c r="O69" cm="1">
        <f t="array" aca="1" ref="O69" ca="1">thm_cum($C69,qi,Di,bi,bf,telf,bterm,tterm)</f>
        <v>10.890828999543411</v>
      </c>
      <c r="Q69" cm="1">
        <f t="array" aca="1" ref="Q69" ca="1">thm_rate(C69,$F$3,$F$4,$F$5,$F$6,$F$7,$F$8,$F$9)</f>
        <v>966.15732485769479</v>
      </c>
      <c r="U69" s="2"/>
      <c r="V69" s="2"/>
      <c r="W69" s="2"/>
      <c r="X69" s="2"/>
      <c r="Y69" s="2"/>
      <c r="Z69" s="2"/>
      <c r="AA69" s="2"/>
    </row>
    <row r="70" spans="2:27" x14ac:dyDescent="0.25">
      <c r="B70" cm="1">
        <f t="array" ref="B70">B69+log_interval</f>
        <v>2.3601497203188977</v>
      </c>
      <c r="C70">
        <f t="shared" si="1"/>
        <v>10.592537251772898</v>
      </c>
      <c r="D70">
        <f ca="1"/>
        <v>1031.1572386639723</v>
      </c>
      <c r="E70">
        <f ca="1"/>
        <v>9.0531829643587195E-3</v>
      </c>
      <c r="F70">
        <f ca="1"/>
        <v>2</v>
      </c>
      <c r="G70">
        <f ca="1"/>
        <v>11.503475732290504</v>
      </c>
      <c r="H70">
        <f t="shared" ca="1" si="2"/>
        <v>10.003454485266856</v>
      </c>
      <c r="J70" s="5" cm="1">
        <f t="array" aca="1" ref="J70" ca="1">thm_rate($C70,qi,Di,bi,bf,telf,bterm,tterm)</f>
        <v>1031.1572386639723</v>
      </c>
      <c r="K70" s="5" cm="1">
        <f t="array" aca="1" ref="K70" ca="1">thm_D($C70,qi,Di,bi,bf,telf,bterm,tterm)</f>
        <v>9.0531829643587195E-3</v>
      </c>
      <c r="L70" s="3" cm="1">
        <f t="array" aca="1" ref="L70" ca="1">thm_D_eff(C70,qi,Di,bi,bf,telf,bterm,tterm)</f>
        <v>0.6375800486155293</v>
      </c>
      <c r="M70" cm="1">
        <f t="array" aca="1" ref="M70" ca="1">thm_b(C70,qi,Di,bi,bf,telf,bterm,tterm)</f>
        <v>2</v>
      </c>
      <c r="N70" cm="1">
        <f t="array" aca="1" ref="N70" ca="1">thm_monthly_vol(C70,qi,Di,bi,bf,telf,bterm,tterm)</f>
        <v>33.055068325862052</v>
      </c>
      <c r="O70" cm="1">
        <f t="array" aca="1" ref="O70" ca="1">thm_cum($C70,qi,Di,bi,bf,telf,bterm,tterm)</f>
        <v>11.503475732290504</v>
      </c>
      <c r="Q70" cm="1">
        <f t="array" aca="1" ref="Q70" ca="1">thm_rate(C70,$F$3,$F$4,$F$5,$F$6,$F$7,$F$8,$F$9)</f>
        <v>962.75906399721043</v>
      </c>
      <c r="U70" s="2"/>
      <c r="V70" s="2"/>
      <c r="W70" s="2"/>
      <c r="X70" s="2"/>
      <c r="Y70" s="2"/>
      <c r="Z70" s="2"/>
      <c r="AA70" s="2"/>
    </row>
    <row r="71" spans="2:27" x14ac:dyDescent="0.25">
      <c r="B71" cm="1">
        <f t="array" ref="B71">B70+log_interval</f>
        <v>2.417714347643749</v>
      </c>
      <c r="C71">
        <f t="shared" si="1"/>
        <v>11.220184543019647</v>
      </c>
      <c r="D71">
        <f ca="1"/>
        <v>1025.3474629386237</v>
      </c>
      <c r="E71">
        <f ca="1"/>
        <v>8.9514549465584126E-3</v>
      </c>
      <c r="F71">
        <f ca="1"/>
        <v>2</v>
      </c>
      <c r="G71">
        <f ca="1"/>
        <v>12.148850384188995</v>
      </c>
      <c r="H71">
        <f t="shared" ca="1" si="2"/>
        <v>10.564674077193271</v>
      </c>
      <c r="J71" s="5" cm="1">
        <f t="array" aca="1" ref="J71" ca="1">thm_rate($C71,qi,Di,bi,bf,telf,bterm,tterm)</f>
        <v>1025.3474629386237</v>
      </c>
      <c r="K71" s="5" cm="1">
        <f t="array" aca="1" ref="K71" ca="1">thm_D($C71,qi,Di,bi,bf,telf,bterm,tterm)</f>
        <v>8.9514549465584126E-3</v>
      </c>
      <c r="L71" s="3" cm="1">
        <f t="array" aca="1" ref="L71" ca="1">thm_D_eff(C71,qi,Di,bi,bf,telf,bterm,tterm)</f>
        <v>0.63579824143217767</v>
      </c>
      <c r="M71" cm="1">
        <f t="array" aca="1" ref="M71" ca="1">thm_b(C71,qi,Di,bi,bf,telf,bterm,tterm)</f>
        <v>2</v>
      </c>
      <c r="N71" cm="1">
        <f t="array" aca="1" ref="N71" ca="1">thm_monthly_vol(C71,qi,Di,bi,bf,telf,bterm,tterm)</f>
        <v>32.956733657184117</v>
      </c>
      <c r="O71" cm="1">
        <f t="array" aca="1" ref="O71" ca="1">thm_cum($C71,qi,Di,bi,bf,telf,bterm,tterm)</f>
        <v>12.148850384188995</v>
      </c>
      <c r="Q71" cm="1">
        <f t="array" aca="1" ref="Q71" ca="1">thm_rate(C71,$F$3,$F$4,$F$5,$F$6,$F$7,$F$8,$F$9)</f>
        <v>959.18541881064732</v>
      </c>
      <c r="U71" s="2"/>
      <c r="V71" s="2"/>
      <c r="W71" s="2"/>
      <c r="X71" s="2"/>
      <c r="Y71" s="2"/>
      <c r="Z71" s="2"/>
      <c r="AA71" s="2"/>
    </row>
    <row r="72" spans="2:27" x14ac:dyDescent="0.25">
      <c r="B72" cm="1">
        <f t="array" ref="B72">B71+log_interval</f>
        <v>2.4752789749686004</v>
      </c>
      <c r="C72">
        <f t="shared" si="1"/>
        <v>11.885022274370199</v>
      </c>
      <c r="D72">
        <f ca="1"/>
        <v>1019.2992866836016</v>
      </c>
      <c r="E72">
        <f ca="1"/>
        <v>8.8461632234251592E-3</v>
      </c>
      <c r="F72">
        <f ca="1"/>
        <v>2</v>
      </c>
      <c r="G72">
        <f ca="1"/>
        <v>12.828523590154234</v>
      </c>
      <c r="H72">
        <f t="shared" ca="1" si="2"/>
        <v>11.155719787112362</v>
      </c>
      <c r="J72" s="5" cm="1">
        <f t="array" aca="1" ref="J72" ca="1">thm_rate($C72,qi,Di,bi,bf,telf,bterm,tterm)</f>
        <v>1019.2992866836016</v>
      </c>
      <c r="K72" s="5" cm="1">
        <f t="array" aca="1" ref="K72" ca="1">thm_D($C72,qi,Di,bi,bf,telf,bterm,tterm)</f>
        <v>8.8461632234251592E-3</v>
      </c>
      <c r="L72" s="3" cm="1">
        <f t="array" aca="1" ref="L72" ca="1">thm_D_eff(C72,qi,Di,bi,bf,telf,bterm,tterm)</f>
        <v>0.63392605402754687</v>
      </c>
      <c r="M72" cm="1">
        <f t="array" aca="1" ref="M72" ca="1">thm_b(C72,qi,Di,bi,bf,telf,bterm,tterm)</f>
        <v>2</v>
      </c>
      <c r="N72" cm="1">
        <f t="array" aca="1" ref="N72" ca="1">thm_monthly_vol(C72,qi,Di,bi,bf,telf,bterm,tterm)</f>
        <v>32.853803531976205</v>
      </c>
      <c r="O72" cm="1">
        <f t="array" aca="1" ref="O72" ca="1">thm_cum($C72,qi,Di,bi,bf,telf,bterm,tterm)</f>
        <v>12.828523590154234</v>
      </c>
      <c r="Q72" cm="1">
        <f t="array" aca="1" ref="Q72" ca="1">thm_rate(C72,$F$3,$F$4,$F$5,$F$6,$F$7,$F$8,$F$9)</f>
        <v>955.42884295644672</v>
      </c>
      <c r="U72" s="2"/>
      <c r="V72" s="2"/>
      <c r="W72" s="2"/>
      <c r="X72" s="2"/>
      <c r="Y72" s="2"/>
      <c r="Z72" s="2"/>
      <c r="AA72" s="2"/>
    </row>
    <row r="73" spans="2:27" x14ac:dyDescent="0.25">
      <c r="B73" cm="1">
        <f t="array" ref="B73">B72+log_interval</f>
        <v>2.5328436022934517</v>
      </c>
      <c r="C73">
        <f t="shared" si="1"/>
        <v>12.589254117941691</v>
      </c>
      <c r="D73">
        <f ca="1"/>
        <v>1013.0080358354099</v>
      </c>
      <c r="E73">
        <f ca="1"/>
        <v>8.7373008266523784E-3</v>
      </c>
      <c r="F73">
        <f ca="1"/>
        <v>2</v>
      </c>
      <c r="G73">
        <f ca="1"/>
        <v>13.544124498804367</v>
      </c>
      <c r="H73">
        <f t="shared" ca="1" si="2"/>
        <v>11.778008327192749</v>
      </c>
      <c r="J73" s="5" cm="1">
        <f t="array" aca="1" ref="J73" ca="1">thm_rate($C73,qi,Di,bi,bf,telf,bterm,tterm)</f>
        <v>1013.0080358354099</v>
      </c>
      <c r="K73" s="5" cm="1">
        <f t="array" aca="1" ref="K73" ca="1">thm_D($C73,qi,Di,bi,bf,telf,bterm,tterm)</f>
        <v>8.7373008266523784E-3</v>
      </c>
      <c r="L73" s="3" cm="1">
        <f t="array" aca="1" ref="L73" ca="1">thm_D_eff(C73,qi,Di,bi,bf,telf,bterm,tterm)</f>
        <v>0.63195969479081704</v>
      </c>
      <c r="M73" cm="1">
        <f t="array" aca="1" ref="M73" ca="1">thm_b(C73,qi,Di,bi,bf,telf,bterm,tterm)</f>
        <v>2</v>
      </c>
      <c r="N73" cm="1">
        <f t="array" aca="1" ref="N73" ca="1">thm_monthly_vol(C73,qi,Di,bi,bf,telf,bterm,tterm)</f>
        <v>32.746125034114378</v>
      </c>
      <c r="O73" cm="1">
        <f t="array" aca="1" ref="O73" ca="1">thm_cum($C73,qi,Di,bi,bf,telf,bterm,tterm)</f>
        <v>13.544124498804367</v>
      </c>
      <c r="Q73" cm="1">
        <f t="array" aca="1" ref="Q73" ca="1">thm_rate(C73,$F$3,$F$4,$F$5,$F$6,$F$7,$F$8,$F$9)</f>
        <v>951.48163502563193</v>
      </c>
      <c r="U73" s="2"/>
      <c r="V73" s="2"/>
      <c r="W73" s="2"/>
      <c r="X73" s="2"/>
      <c r="Y73" s="2"/>
      <c r="Z73" s="2"/>
      <c r="AA73" s="2"/>
    </row>
    <row r="74" spans="2:27" x14ac:dyDescent="0.25">
      <c r="B74" cm="1">
        <f t="array" ref="B74">B73+log_interval</f>
        <v>2.5904082296183031</v>
      </c>
      <c r="C74">
        <f t="shared" si="1"/>
        <v>13.335214321633263</v>
      </c>
      <c r="D74">
        <f ca="1"/>
        <v>1006.4694307324761</v>
      </c>
      <c r="E74">
        <f ca="1"/>
        <v>8.6248725306111388E-3</v>
      </c>
      <c r="F74">
        <f ca="1"/>
        <v>2</v>
      </c>
      <c r="G74">
        <f ca="1"/>
        <v>14.297341513783229</v>
      </c>
      <c r="H74">
        <f t="shared" ca="1" si="2"/>
        <v>12.433007937938164</v>
      </c>
      <c r="J74" s="5" cm="1">
        <f t="array" aca="1" ref="J74" ca="1">thm_rate($C74,qi,Di,bi,bf,telf,bterm,tterm)</f>
        <v>1006.4694307324761</v>
      </c>
      <c r="K74" s="5" cm="1">
        <f t="array" aca="1" ref="K74" ca="1">thm_D($C74,qi,Di,bi,bf,telf,bterm,tterm)</f>
        <v>8.6248725306111388E-3</v>
      </c>
      <c r="L74" s="3" cm="1">
        <f t="array" aca="1" ref="L74" ca="1">thm_D_eff(C74,qi,Di,bi,bf,telf,bterm,tterm)</f>
        <v>0.62989529341430339</v>
      </c>
      <c r="M74" cm="1">
        <f t="array" aca="1" ref="M74" ca="1">thm_b(C74,qi,Di,bi,bf,telf,bterm,tterm)</f>
        <v>2</v>
      </c>
      <c r="N74" cm="1">
        <f t="array" aca="1" ref="N74" ca="1">thm_monthly_vol(C74,qi,Di,bi,bf,telf,bterm,tterm)</f>
        <v>32.633546175542669</v>
      </c>
      <c r="O74" cm="1">
        <f t="array" aca="1" ref="O74" ca="1">thm_cum($C74,qi,Di,bi,bf,telf,bterm,tterm)</f>
        <v>14.297341513783229</v>
      </c>
      <c r="Q74" cm="1">
        <f t="array" aca="1" ref="Q74" ca="1">thm_rate(C74,$F$3,$F$4,$F$5,$F$6,$F$7,$F$8,$F$9)</f>
        <v>947.33595596400971</v>
      </c>
      <c r="V74" s="2"/>
      <c r="W74" s="2"/>
      <c r="X74" s="2"/>
      <c r="Y74" s="2"/>
      <c r="Z74" s="2"/>
      <c r="AA74" s="2"/>
    </row>
    <row r="75" spans="2:27" x14ac:dyDescent="0.25">
      <c r="B75" cm="1">
        <f t="array" ref="B75">B74+log_interval</f>
        <v>2.6479728569431544</v>
      </c>
      <c r="C75">
        <f t="shared" si="1"/>
        <v>14.12537544622757</v>
      </c>
      <c r="D75">
        <f ca="1"/>
        <v>999.67963312969709</v>
      </c>
      <c r="E75">
        <f ca="1"/>
        <v>8.5088956199866547E-3</v>
      </c>
      <c r="F75">
        <f ca="1"/>
        <v>2</v>
      </c>
      <c r="G75">
        <f ca="1"/>
        <v>15.089922935025427</v>
      </c>
      <c r="H75">
        <f t="shared" ca="1" si="2"/>
        <v>13.122238945833354</v>
      </c>
      <c r="J75" s="5" cm="1">
        <f t="array" aca="1" ref="J75" ca="1">thm_rate($C75,qi,Di,bi,bf,telf,bterm,tterm)</f>
        <v>999.67963312969709</v>
      </c>
      <c r="K75" s="5" cm="1">
        <f t="array" aca="1" ref="K75" ca="1">thm_D($C75,qi,Di,bi,bf,telf,bterm,tterm)</f>
        <v>8.5088956199866547E-3</v>
      </c>
      <c r="L75" s="3" cm="1">
        <f t="array" aca="1" ref="L75" ca="1">thm_D_eff(C75,qi,Di,bi,bf,telf,bterm,tterm)</f>
        <v>0.62772890764704936</v>
      </c>
      <c r="M75" cm="1">
        <f t="array" aca="1" ref="M75" ca="1">thm_b(C75,qi,Di,bi,bf,telf,bterm,tterm)</f>
        <v>2</v>
      </c>
      <c r="N75" cm="1">
        <f t="array" aca="1" ref="N75" ca="1">thm_monthly_vol(C75,qi,Di,bi,bf,telf,bterm,tterm)</f>
        <v>32.515916556221548</v>
      </c>
      <c r="O75" cm="1">
        <f t="array" aca="1" ref="O75" ca="1">thm_cum($C75,qi,Di,bi,bf,telf,bterm,tterm)</f>
        <v>15.089922935025427</v>
      </c>
      <c r="Q75" cm="1">
        <f t="array" aca="1" ref="Q75" ca="1">thm_rate(C75,$F$3,$F$4,$F$5,$F$6,$F$7,$F$8,$F$9)</f>
        <v>942.98384938311801</v>
      </c>
      <c r="V75" s="2"/>
      <c r="W75" s="2"/>
      <c r="X75" s="2"/>
      <c r="Y75" s="2"/>
      <c r="Z75" s="2"/>
      <c r="AA75" s="2"/>
    </row>
    <row r="76" spans="2:27" x14ac:dyDescent="0.25">
      <c r="B76" cm="1">
        <f t="array" ref="B76">B75+log_interval</f>
        <v>2.7055374842680058</v>
      </c>
      <c r="C76">
        <f t="shared" si="1"/>
        <v>14.962356560944366</v>
      </c>
      <c r="D76">
        <f ca="1"/>
        <v>992.63529348919451</v>
      </c>
      <c r="E76">
        <f ca="1"/>
        <v>8.3894006061839572E-3</v>
      </c>
      <c r="F76">
        <f ca="1"/>
        <v>2</v>
      </c>
      <c r="G76">
        <f ca="1"/>
        <v>15.923677495727349</v>
      </c>
      <c r="H76">
        <f t="shared" ca="1" si="2"/>
        <v>13.847274230295561</v>
      </c>
      <c r="J76" s="5" cm="1">
        <f t="array" aca="1" ref="J76" ca="1">thm_rate($C76,qi,Di,bi,bf,telf,bterm,tterm)</f>
        <v>992.63529348919451</v>
      </c>
      <c r="K76" s="5" cm="1">
        <f t="array" aca="1" ref="K76" ca="1">thm_D($C76,qi,Di,bi,bf,telf,bterm,tterm)</f>
        <v>8.3894006061839572E-3</v>
      </c>
      <c r="L76" s="3" cm="1">
        <f t="array" aca="1" ref="L76" ca="1">thm_D_eff(C76,qi,Di,bi,bf,telf,bterm,tterm)</f>
        <v>0.62545653103273136</v>
      </c>
      <c r="M76" cm="1">
        <f t="array" aca="1" ref="M76" ca="1">thm_b(C76,qi,Di,bi,bf,telf,bterm,tterm)</f>
        <v>2</v>
      </c>
      <c r="N76" cm="1">
        <f t="array" aca="1" ref="N76" ca="1">thm_monthly_vol(C76,qi,Di,bi,bf,telf,bterm,tterm)</f>
        <v>32.393088067512956</v>
      </c>
      <c r="O76" cm="1">
        <f t="array" aca="1" ref="O76" ca="1">thm_cum($C76,qi,Di,bi,bf,telf,bterm,tterm)</f>
        <v>15.923677495727349</v>
      </c>
      <c r="Q76" cm="1">
        <f t="array" aca="1" ref="Q76" ca="1">thm_rate(C76,$F$3,$F$4,$F$5,$F$6,$F$7,$F$8,$F$9)</f>
        <v>938.4172649634055</v>
      </c>
      <c r="V76" s="2"/>
      <c r="W76" s="2"/>
      <c r="X76" s="2"/>
      <c r="Y76" s="2"/>
      <c r="Z76" s="2"/>
      <c r="AA76" s="2"/>
    </row>
    <row r="77" spans="2:27" x14ac:dyDescent="0.25">
      <c r="B77" cm="1">
        <f t="array" ref="B77">B76+log_interval</f>
        <v>2.7631021115928571</v>
      </c>
      <c r="C77">
        <f t="shared" si="1"/>
        <v>15.848931924611172</v>
      </c>
      <c r="D77">
        <f ca="1"/>
        <v>985.33359805204805</v>
      </c>
      <c r="E77">
        <f ca="1"/>
        <v>8.2664318787087736E-3</v>
      </c>
      <c r="F77">
        <f ca="1"/>
        <v>2</v>
      </c>
      <c r="G77">
        <f ca="1"/>
        <v>16.800474791890469</v>
      </c>
      <c r="H77">
        <f t="shared" ca="1" si="2"/>
        <v>14.609739597206573</v>
      </c>
      <c r="J77" s="5" cm="1">
        <f t="array" aca="1" ref="J77" ca="1">thm_rate($C77,qi,Di,bi,bf,telf,bterm,tterm)</f>
        <v>985.33359805204805</v>
      </c>
      <c r="K77" s="5" cm="1">
        <f t="array" aca="1" ref="K77" ca="1">thm_D($C77,qi,Di,bi,bf,telf,bterm,tterm)</f>
        <v>8.2664318787087736E-3</v>
      </c>
      <c r="L77" s="3" cm="1">
        <f t="array" aca="1" ref="L77" ca="1">thm_D_eff(C77,qi,Di,bi,bf,telf,bterm,tterm)</f>
        <v>0.62307410167832189</v>
      </c>
      <c r="M77" cm="1">
        <f t="array" aca="1" ref="M77" ca="1">thm_b(C77,qi,Di,bi,bf,telf,bterm,tterm)</f>
        <v>2</v>
      </c>
      <c r="N77" cm="1">
        <f t="array" aca="1" ref="N77" ca="1">thm_monthly_vol(C77,qi,Di,bi,bf,telf,bterm,tterm)</f>
        <v>32.264915636623364</v>
      </c>
      <c r="O77" cm="1">
        <f t="array" aca="1" ref="O77" ca="1">thm_cum($C77,qi,Di,bi,bf,telf,bterm,tterm)</f>
        <v>16.800474791890469</v>
      </c>
      <c r="Q77" cm="1">
        <f t="array" aca="1" ref="Q77" ca="1">thm_rate(C77,$F$3,$F$4,$F$5,$F$6,$F$7,$F$8,$F$9)</f>
        <v>933.62808514648998</v>
      </c>
      <c r="V77" s="2"/>
      <c r="W77" s="2"/>
      <c r="X77" s="2"/>
      <c r="Y77" s="2"/>
      <c r="Z77" s="2"/>
      <c r="AA77" s="2"/>
    </row>
    <row r="78" spans="2:27" x14ac:dyDescent="0.25">
      <c r="B78" cm="1">
        <f t="array" ref="B78">B77+log_interval</f>
        <v>2.8206667389177085</v>
      </c>
      <c r="C78">
        <f t="shared" si="1"/>
        <v>16.788040181225647</v>
      </c>
      <c r="D78">
        <f ca="1"/>
        <v>977.77231514998095</v>
      </c>
      <c r="E78">
        <f ca="1"/>
        <v>8.140048277425288E-3</v>
      </c>
      <c r="F78">
        <f ca="1"/>
        <v>2</v>
      </c>
      <c r="G78">
        <f ca="1"/>
        <v>17.722245602563412</v>
      </c>
      <c r="H78">
        <f t="shared" ca="1" si="2"/>
        <v>15.411314057396121</v>
      </c>
      <c r="J78" s="5" cm="1">
        <f t="array" aca="1" ref="J78" ca="1">thm_rate($C78,qi,Di,bi,bf,telf,bterm,tterm)</f>
        <v>977.77231514998095</v>
      </c>
      <c r="K78" s="5" cm="1">
        <f t="array" aca="1" ref="K78" ca="1">thm_D($C78,qi,Di,bi,bf,telf,bterm,tterm)</f>
        <v>8.140048277425288E-3</v>
      </c>
      <c r="L78" s="3" cm="1">
        <f t="array" aca="1" ref="L78" ca="1">thm_D_eff(C78,qi,Di,bi,bf,telf,bterm,tterm)</f>
        <v>0.62057751209603973</v>
      </c>
      <c r="M78" cm="1">
        <f t="array" aca="1" ref="M78" ca="1">thm_b(C78,qi,Di,bi,bf,telf,bterm,tterm)</f>
        <v>2</v>
      </c>
      <c r="N78" cm="1">
        <f t="array" aca="1" ref="N78" ca="1">thm_monthly_vol(C78,qi,Di,bi,bf,telf,bterm,tterm)</f>
        <v>32.131258008976381</v>
      </c>
      <c r="O78" cm="1">
        <f t="array" aca="1" ref="O78" ca="1">thm_cum($C78,qi,Di,bi,bf,telf,bterm,tterm)</f>
        <v>17.722245602563412</v>
      </c>
      <c r="Q78" cm="1">
        <f t="array" aca="1" ref="Q78" ca="1">thm_rate(C78,$F$3,$F$4,$F$5,$F$6,$F$7,$F$8,$F$9)</f>
        <v>928.6081553023912</v>
      </c>
      <c r="V78" s="2"/>
      <c r="W78" s="2"/>
      <c r="X78" s="2"/>
      <c r="Y78" s="2"/>
      <c r="Z78" s="2"/>
      <c r="AA78" s="2"/>
    </row>
    <row r="79" spans="2:27" x14ac:dyDescent="0.25">
      <c r="B79" cm="1">
        <f t="array" ref="B79">B78+log_interval</f>
        <v>2.8782313662425598</v>
      </c>
      <c r="C79">
        <f t="shared" si="1"/>
        <v>17.782794100389275</v>
      </c>
      <c r="D79">
        <f ca="1"/>
        <v>969.94984017587251</v>
      </c>
      <c r="E79">
        <f ca="1"/>
        <v>8.0103235715671892E-3</v>
      </c>
      <c r="F79">
        <f ca="1"/>
        <v>2</v>
      </c>
      <c r="G79">
        <f ca="1"/>
        <v>18.69098210031817</v>
      </c>
      <c r="H79">
        <f t="shared" ca="1" si="2"/>
        <v>16.253730009672573</v>
      </c>
      <c r="J79" s="5" cm="1">
        <f t="array" aca="1" ref="J79" ca="1">thm_rate($C79,qi,Di,bi,bf,telf,bterm,tterm)</f>
        <v>969.94984017587251</v>
      </c>
      <c r="K79" s="5" cm="1">
        <f t="array" aca="1" ref="K79" ca="1">thm_D($C79,qi,Di,bi,bf,telf,bterm,tterm)</f>
        <v>8.0103235715671892E-3</v>
      </c>
      <c r="L79" s="3" cm="1">
        <f t="array" aca="1" ref="L79" ca="1">thm_D_eff(C79,qi,Di,bi,bf,telf,bterm,tterm)</f>
        <v>0.61796262015637438</v>
      </c>
      <c r="M79" cm="1">
        <f t="array" aca="1" ref="M79" ca="1">thm_b(C79,qi,Di,bi,bf,telf,bterm,tterm)</f>
        <v>2</v>
      </c>
      <c r="N79" cm="1">
        <f t="array" aca="1" ref="N79" ca="1">thm_monthly_vol(C79,qi,Di,bi,bf,telf,bterm,tterm)</f>
        <v>31.991978564604796</v>
      </c>
      <c r="O79" cm="1">
        <f t="array" aca="1" ref="O79" ca="1">thm_cum($C79,qi,Di,bi,bf,telf,bterm,tterm)</f>
        <v>18.69098210031817</v>
      </c>
      <c r="Q79" cm="1">
        <f t="array" aca="1" ref="Q79" ca="1">thm_rate(C79,$F$3,$F$4,$F$5,$F$6,$F$7,$F$8,$F$9)</f>
        <v>923.34931754176455</v>
      </c>
      <c r="V79" s="2"/>
      <c r="W79" s="2"/>
      <c r="X79" s="2"/>
      <c r="Y79" s="2"/>
      <c r="Z79" s="2"/>
      <c r="AA79" s="2"/>
    </row>
    <row r="80" spans="2:27" x14ac:dyDescent="0.25">
      <c r="B80" cm="1">
        <f t="array" ref="B80">B79+log_interval</f>
        <v>2.9357959935674112</v>
      </c>
      <c r="C80">
        <f t="shared" si="1"/>
        <v>18.836490894898059</v>
      </c>
      <c r="D80">
        <f ca="1"/>
        <v>961.86523859925614</v>
      </c>
      <c r="E80">
        <f ca="1"/>
        <v>7.877346831667997E-3</v>
      </c>
      <c r="F80">
        <f ca="1"/>
        <v>2</v>
      </c>
      <c r="G80">
        <f ca="1"/>
        <v>19.708737953041872</v>
      </c>
      <c r="H80">
        <f t="shared" ca="1" si="2"/>
        <v>17.13877332934134</v>
      </c>
      <c r="J80" s="5" cm="1">
        <f t="array" aca="1" ref="J80" ca="1">thm_rate($C80,qi,Di,bi,bf,telf,bterm,tterm)</f>
        <v>961.86523859925614</v>
      </c>
      <c r="K80" s="5" cm="1">
        <f t="array" aca="1" ref="K80" ca="1">thm_D($C80,qi,Di,bi,bf,telf,bterm,tterm)</f>
        <v>7.877346831667997E-3</v>
      </c>
      <c r="L80" s="3" cm="1">
        <f t="array" aca="1" ref="L80" ca="1">thm_D_eff(C80,qi,Di,bi,bf,telf,bterm,tterm)</f>
        <v>0.61522526118439425</v>
      </c>
      <c r="M80" cm="1">
        <f t="array" aca="1" ref="M80" ca="1">thm_b(C80,qi,Di,bi,bf,telf,bterm,tterm)</f>
        <v>2</v>
      </c>
      <c r="N80" cm="1">
        <f t="array" aca="1" ref="N80" ca="1">thm_monthly_vol(C80,qi,Di,bi,bf,telf,bterm,tterm)</f>
        <v>31.84694616385227</v>
      </c>
      <c r="O80" cm="1">
        <f t="array" aca="1" ref="O80" ca="1">thm_cum($C80,qi,Di,bi,bf,telf,bterm,tterm)</f>
        <v>19.708737953041872</v>
      </c>
      <c r="Q80" cm="1">
        <f t="array" aca="1" ref="Q80" ca="1">thm_rate(C80,$F$3,$F$4,$F$5,$F$6,$F$7,$F$8,$F$9)</f>
        <v>917.84344832173247</v>
      </c>
      <c r="V80" s="2"/>
      <c r="W80" s="2"/>
      <c r="X80" s="2"/>
      <c r="Y80" s="2"/>
      <c r="Z80" s="2"/>
      <c r="AA80" s="2"/>
    </row>
    <row r="81" spans="2:27" x14ac:dyDescent="0.25">
      <c r="B81" cm="1">
        <f t="array" ref="B81">B80+log_interval</f>
        <v>2.9933606208922625</v>
      </c>
      <c r="C81">
        <f t="shared" si="1"/>
        <v>19.952623149688858</v>
      </c>
      <c r="D81">
        <f ca="1"/>
        <v>953.51828638933478</v>
      </c>
      <c r="E81">
        <f ca="1"/>
        <v>7.7412226812103224E-3</v>
      </c>
      <c r="F81">
        <f ca="1"/>
        <v>2</v>
      </c>
      <c r="G81">
        <f ca="1"/>
        <v>20.777628319789169</v>
      </c>
      <c r="H81">
        <f t="shared" ca="1" si="2"/>
        <v>18.068283364598113</v>
      </c>
      <c r="J81" s="5" cm="1">
        <f t="array" aca="1" ref="J81" ca="1">thm_rate($C81,qi,Di,bi,bf,telf,bterm,tterm)</f>
        <v>953.51828638933478</v>
      </c>
      <c r="K81" s="5" cm="1">
        <f t="array" aca="1" ref="K81" ca="1">thm_D($C81,qi,Di,bi,bf,telf,bterm,tterm)</f>
        <v>7.7412226812103224E-3</v>
      </c>
      <c r="L81" s="3" cm="1">
        <f t="array" aca="1" ref="L81" ca="1">thm_D_eff(C81,qi,Di,bi,bf,telf,bterm,tterm)</f>
        <v>0.61236126122512302</v>
      </c>
      <c r="M81" cm="1">
        <f t="array" aca="1" ref="M81" ca="1">thm_b(C81,qi,Di,bi,bf,telf,bterm,tterm)</f>
        <v>2</v>
      </c>
      <c r="N81" cm="1">
        <f t="array" aca="1" ref="N81" ca="1">thm_monthly_vol(C81,qi,Di,bi,bf,telf,bterm,tterm)</f>
        <v>31.696036016870536</v>
      </c>
      <c r="O81" cm="1">
        <f t="array" aca="1" ref="O81" ca="1">thm_cum($C81,qi,Di,bi,bf,telf,bterm,tterm)</f>
        <v>20.777628319789169</v>
      </c>
      <c r="Q81" cm="1">
        <f t="array" aca="1" ref="Q81" ca="1">thm_rate(C81,$F$3,$F$4,$F$5,$F$6,$F$7,$F$8,$F$9)</f>
        <v>912.08249996632878</v>
      </c>
      <c r="V81" s="2"/>
      <c r="W81" s="2"/>
      <c r="X81" s="2"/>
      <c r="Y81" s="2"/>
      <c r="Z81" s="2"/>
      <c r="AA81" s="2"/>
    </row>
    <row r="82" spans="2:27" x14ac:dyDescent="0.25">
      <c r="B82" cm="1">
        <f t="array" ref="B82">B81+log_interval</f>
        <v>3.0509252482171139</v>
      </c>
      <c r="C82">
        <f t="shared" si="1"/>
        <v>21.134890398366537</v>
      </c>
      <c r="D82">
        <f ca="1"/>
        <v>944.90950719509772</v>
      </c>
      <c r="E82">
        <f ca="1"/>
        <v>7.6020714157928916E-3</v>
      </c>
      <c r="F82">
        <f ca="1"/>
        <v>2</v>
      </c>
      <c r="G82">
        <f ca="1"/>
        <v>21.899829745202478</v>
      </c>
      <c r="H82">
        <f t="shared" ca="1" si="2"/>
        <v>19.044152844716397</v>
      </c>
      <c r="J82" s="5" cm="1">
        <f t="array" aca="1" ref="J82" ca="1">thm_rate($C82,qi,Di,bi,bf,telf,bterm,tterm)</f>
        <v>944.90950719509772</v>
      </c>
      <c r="K82" s="5" cm="1">
        <f t="array" aca="1" ref="K82" ca="1">thm_D($C82,qi,Di,bi,bf,telf,bterm,tterm)</f>
        <v>7.6020714157928916E-3</v>
      </c>
      <c r="L82" s="3" cm="1">
        <f t="array" aca="1" ref="L82" ca="1">thm_D_eff(C82,qi,Di,bi,bf,telf,bterm,tterm)</f>
        <v>0.60936645149651447</v>
      </c>
      <c r="M82" cm="1">
        <f t="array" aca="1" ref="M82" ca="1">thm_b(C82,qi,Di,bi,bf,telf,bterm,tterm)</f>
        <v>2</v>
      </c>
      <c r="N82" cm="1">
        <f t="array" aca="1" ref="N82" ca="1">thm_monthly_vol(C82,qi,Di,bi,bf,telf,bterm,tterm)</f>
        <v>31.539130570609366</v>
      </c>
      <c r="O82" cm="1">
        <f t="array" aca="1" ref="O82" ca="1">thm_cum($C82,qi,Di,bi,bf,telf,bterm,tterm)</f>
        <v>21.899829745202478</v>
      </c>
      <c r="Q82" cm="1">
        <f t="array" aca="1" ref="Q82" ca="1">thm_rate(C82,$F$3,$F$4,$F$5,$F$6,$F$7,$F$8,$F$9)</f>
        <v>906.05854618824617</v>
      </c>
      <c r="V82" s="2"/>
      <c r="W82" s="2"/>
      <c r="X82" s="2"/>
      <c r="Y82" s="2"/>
      <c r="Z82" s="2"/>
      <c r="AA82" s="2"/>
    </row>
    <row r="83" spans="2:27" x14ac:dyDescent="0.25">
      <c r="B83" cm="1">
        <f t="array" ref="B83">B82+log_interval</f>
        <v>3.1084898755419652</v>
      </c>
      <c r="C83">
        <f t="shared" si="1"/>
        <v>22.387211385683475</v>
      </c>
      <c r="D83">
        <f ca="1"/>
        <v>936.04020563133429</v>
      </c>
      <c r="E83">
        <f ca="1"/>
        <v>7.4600289789896815E-3</v>
      </c>
      <c r="F83">
        <f ca="1"/>
        <v>2</v>
      </c>
      <c r="G83">
        <f ca="1"/>
        <v>23.07757995883777</v>
      </c>
      <c r="H83">
        <f t="shared" ca="1" si="2"/>
        <v>20.068327705540664</v>
      </c>
      <c r="J83" s="5" cm="1">
        <f t="array" aca="1" ref="J83" ca="1">thm_rate($C83,qi,Di,bi,bf,telf,bterm,tterm)</f>
        <v>936.04020563133429</v>
      </c>
      <c r="K83" s="5" cm="1">
        <f t="array" aca="1" ref="K83" ca="1">thm_D($C83,qi,Di,bi,bf,telf,bterm,tterm)</f>
        <v>7.4600289789896815E-3</v>
      </c>
      <c r="L83" s="3" cm="1">
        <f t="array" aca="1" ref="L83" ca="1">thm_D_eff(C83,qi,Di,bi,bf,telf,bterm,tterm)</f>
        <v>0.6062366840404807</v>
      </c>
      <c r="M83" cm="1">
        <f t="array" aca="1" ref="M83" ca="1">thm_b(C83,qi,Di,bi,bf,telf,bterm,tterm)</f>
        <v>2</v>
      </c>
      <c r="N83" cm="1">
        <f t="array" aca="1" ref="N83" ca="1">thm_monthly_vol(C83,qi,Di,bi,bf,telf,bterm,tterm)</f>
        <v>31.37612040623879</v>
      </c>
      <c r="O83" cm="1">
        <f t="array" aca="1" ref="O83" ca="1">thm_cum($C83,qi,Di,bi,bf,telf,bterm,tterm)</f>
        <v>23.07757995883777</v>
      </c>
      <c r="Q83" cm="1">
        <f t="array" aca="1" ref="Q83" ca="1">thm_rate(C83,$F$3,$F$4,$F$5,$F$6,$F$7,$F$8,$F$9)</f>
        <v>899.76383165698792</v>
      </c>
      <c r="V83" s="2"/>
      <c r="W83" s="2"/>
      <c r="X83" s="2"/>
      <c r="Y83" s="2"/>
      <c r="Z83" s="2"/>
      <c r="AA83" s="2"/>
    </row>
    <row r="84" spans="2:27" x14ac:dyDescent="0.25">
      <c r="B84" cm="1">
        <f t="array" ref="B84">B83+log_interval</f>
        <v>3.1660545028668166</v>
      </c>
      <c r="C84">
        <f t="shared" si="1"/>
        <v>23.71373705661664</v>
      </c>
      <c r="D84">
        <f ca="1"/>
        <v>926.9124960319416</v>
      </c>
      <c r="E84">
        <f ca="1"/>
        <v>7.3152467858263103E-3</v>
      </c>
      <c r="F84">
        <f ca="1"/>
        <v>2</v>
      </c>
      <c r="G84">
        <f ca="1"/>
        <v>24.313177587602755</v>
      </c>
      <c r="H84">
        <f t="shared" ca="1" si="2"/>
        <v>21.142806839421802</v>
      </c>
      <c r="J84" s="5" cm="1">
        <f t="array" aca="1" ref="J84" ca="1">thm_rate($C84,qi,Di,bi,bf,telf,bterm,tterm)</f>
        <v>926.9124960319416</v>
      </c>
      <c r="K84" s="5" cm="1">
        <f t="array" aca="1" ref="K84" ca="1">thm_D($C84,qi,Di,bi,bf,telf,bterm,tterm)</f>
        <v>7.3152467858263103E-3</v>
      </c>
      <c r="L84" s="3" cm="1">
        <f t="array" aca="1" ref="L84" ca="1">thm_D_eff(C84,qi,Di,bi,bf,telf,bterm,tterm)</f>
        <v>0.60296784857356411</v>
      </c>
      <c r="M84" cm="1">
        <f t="array" aca="1" ref="M84" ca="1">thm_b(C84,qi,Di,bi,bf,telf,bterm,tterm)</f>
        <v>2</v>
      </c>
      <c r="N84" cm="1">
        <f t="array" aca="1" ref="N84" ca="1">thm_monthly_vol(C84,qi,Di,bi,bf,telf,bterm,tterm)</f>
        <v>31.206905139237595</v>
      </c>
      <c r="O84" cm="1">
        <f t="array" aca="1" ref="O84" ca="1">thm_cum($C84,qi,Di,bi,bf,telf,bterm,tterm)</f>
        <v>24.313177587602755</v>
      </c>
      <c r="Q84" cm="1">
        <f t="array" aca="1" ref="Q84" ca="1">thm_rate(C84,$F$3,$F$4,$F$5,$F$6,$F$7,$F$8,$F$9)</f>
        <v>893.1908256092355</v>
      </c>
      <c r="V84" s="2"/>
      <c r="W84" s="2"/>
      <c r="X84" s="2"/>
      <c r="Y84" s="2"/>
      <c r="Z84" s="2"/>
      <c r="AA84" s="2"/>
    </row>
    <row r="85" spans="2:27" x14ac:dyDescent="0.25">
      <c r="B85" cm="1">
        <f t="array" ref="B85">B84+log_interval</f>
        <v>3.2236191301916679</v>
      </c>
      <c r="C85">
        <f t="shared" si="1"/>
        <v>25.118864315095902</v>
      </c>
      <c r="D85">
        <f ca="1"/>
        <v>917.52932605883666</v>
      </c>
      <c r="E85">
        <f ca="1"/>
        <v>7.1678913869102747E-3</v>
      </c>
      <c r="F85">
        <f ca="1"/>
        <v>2</v>
      </c>
      <c r="G85">
        <f ca="1"/>
        <v>25.608981791387492</v>
      </c>
      <c r="H85">
        <f t="shared" ca="1" si="2"/>
        <v>22.269641778360477</v>
      </c>
      <c r="J85" s="5" cm="1">
        <f t="array" aca="1" ref="J85" ca="1">thm_rate($C85,qi,Di,bi,bf,telf,bterm,tterm)</f>
        <v>917.52932605883666</v>
      </c>
      <c r="K85" s="5" cm="1">
        <f t="array" aca="1" ref="K85" ca="1">thm_D($C85,qi,Di,bi,bf,telf,bterm,tterm)</f>
        <v>7.1678913869102747E-3</v>
      </c>
      <c r="L85" s="3" cm="1">
        <f t="array" aca="1" ref="L85" ca="1">thm_D_eff(C85,qi,Di,bi,bf,telf,bterm,tterm)</f>
        <v>0.59955589052922864</v>
      </c>
      <c r="M85" cm="1">
        <f t="array" aca="1" ref="M85" ca="1">thm_b(C85,qi,Di,bi,bf,telf,bterm,tterm)</f>
        <v>2</v>
      </c>
      <c r="N85" cm="1">
        <f t="array" aca="1" ref="N85" ca="1">thm_monthly_vol(C85,qi,Di,bi,bf,telf,bterm,tterm)</f>
        <v>31.031394313751278</v>
      </c>
      <c r="O85" cm="1">
        <f t="array" aca="1" ref="O85" ca="1">thm_cum($C85,qi,Di,bi,bf,telf,bterm,tterm)</f>
        <v>25.608981791387492</v>
      </c>
      <c r="Q85" cm="1">
        <f t="array" aca="1" ref="Q85" ca="1">thm_rate(C85,$F$3,$F$4,$F$5,$F$6,$F$7,$F$8,$F$9)</f>
        <v>886.33227943994643</v>
      </c>
      <c r="V85" s="2"/>
      <c r="W85" s="2"/>
      <c r="X85" s="2"/>
      <c r="Y85" s="2"/>
      <c r="Z85" s="2"/>
      <c r="AA85" s="2"/>
    </row>
    <row r="86" spans="2:27" x14ac:dyDescent="0.25">
      <c r="B86" cm="1">
        <f t="array" ref="B86">B85+log_interval</f>
        <v>3.2811837575165193</v>
      </c>
      <c r="C86">
        <f t="shared" si="1"/>
        <v>26.607250597988205</v>
      </c>
      <c r="D86">
        <f ca="1"/>
        <v>907.89449459658999</v>
      </c>
      <c r="E86">
        <f ca="1"/>
        <v>7.0181439686945934E-3</v>
      </c>
      <c r="F86">
        <f ca="1"/>
        <v>2</v>
      </c>
      <c r="G86">
        <f ca="1"/>
        <v>26.967411833804903</v>
      </c>
      <c r="H86">
        <f t="shared" ca="1" si="2"/>
        <v>23.450936320721883</v>
      </c>
      <c r="J86" s="5" cm="1">
        <f t="array" aca="1" ref="J86" ca="1">thm_rate($C86,qi,Di,bi,bf,telf,bterm,tterm)</f>
        <v>907.89449459658999</v>
      </c>
      <c r="K86" s="5" cm="1">
        <f t="array" aca="1" ref="K86" ca="1">thm_D($C86,qi,Di,bi,bf,telf,bterm,tterm)</f>
        <v>7.0181439686945934E-3</v>
      </c>
      <c r="L86" s="3" cm="1">
        <f t="array" aca="1" ref="L86" ca="1">thm_D_eff(C86,qi,Di,bi,bf,telf,bterm,tterm)</f>
        <v>0.59599683027342465</v>
      </c>
      <c r="M86" cm="1">
        <f t="array" aca="1" ref="M86" ca="1">thm_b(C86,qi,Di,bi,bf,telf,bterm,tterm)</f>
        <v>2</v>
      </c>
      <c r="N86" cm="1">
        <f t="array" aca="1" ref="N86" ca="1">thm_monthly_vol(C86,qi,Di,bi,bf,telf,bterm,tterm)</f>
        <v>30.849508282283761</v>
      </c>
      <c r="O86" cm="1">
        <f t="array" aca="1" ref="O86" ca="1">thm_cum($C86,qi,Di,bi,bf,telf,bterm,tterm)</f>
        <v>26.967411833804903</v>
      </c>
      <c r="Q86" cm="1">
        <f t="array" aca="1" ref="Q86" ca="1">thm_rate(C86,$F$3,$F$4,$F$5,$F$6,$F$7,$F$8,$F$9)</f>
        <v>879.18128814723252</v>
      </c>
      <c r="V86" s="2"/>
      <c r="W86" s="2"/>
      <c r="X86" s="2"/>
      <c r="Y86" s="2"/>
      <c r="Z86" s="2"/>
      <c r="AA86" s="2"/>
    </row>
    <row r="87" spans="2:27" x14ac:dyDescent="0.25">
      <c r="B87" cm="1">
        <f t="array" ref="B87">B86+log_interval</f>
        <v>3.3387483848413706</v>
      </c>
      <c r="C87">
        <f t="shared" si="1"/>
        <v>28.183829312644662</v>
      </c>
      <c r="D87">
        <f ca="1"/>
        <v>898.01266341970029</v>
      </c>
      <c r="E87">
        <f ca="1"/>
        <v>6.8661996880848763E-3</v>
      </c>
      <c r="F87">
        <f ca="1"/>
        <v>2</v>
      </c>
      <c r="G87">
        <f ca="1"/>
        <v>28.390946601722145</v>
      </c>
      <c r="H87">
        <f t="shared" ca="1" si="2"/>
        <v>24.688846113418915</v>
      </c>
      <c r="J87" s="5" cm="1">
        <f t="array" aca="1" ref="J87" ca="1">thm_rate($C87,qi,Di,bi,bf,telf,bterm,tterm)</f>
        <v>898.01266341970029</v>
      </c>
      <c r="K87" s="5" cm="1">
        <f t="array" aca="1" ref="K87" ca="1">thm_D($C87,qi,Di,bi,bf,telf,bterm,tterm)</f>
        <v>6.8661996880848763E-3</v>
      </c>
      <c r="L87" s="3" cm="1">
        <f t="array" aca="1" ref="L87" ca="1">thm_D_eff(C87,qi,Di,bi,bf,telf,bterm,tterm)</f>
        <v>0.59228678346409924</v>
      </c>
      <c r="M87" cm="1">
        <f t="array" aca="1" ref="M87" ca="1">thm_b(C87,qi,Di,bi,bf,telf,bterm,tterm)</f>
        <v>2</v>
      </c>
      <c r="N87" cm="1">
        <f t="array" aca="1" ref="N87" ca="1">thm_monthly_vol(C87,qi,Di,bi,bf,telf,bterm,tterm)</f>
        <v>30.661179061364013</v>
      </c>
      <c r="O87" cm="1">
        <f t="array" aca="1" ref="O87" ca="1">thm_cum($C87,qi,Di,bi,bf,telf,bterm,tterm)</f>
        <v>28.390946601722145</v>
      </c>
      <c r="Q87" cm="1">
        <f t="array" aca="1" ref="Q87" ca="1">thm_rate(C87,$F$3,$F$4,$F$5,$F$6,$F$7,$F$8,$F$9)</f>
        <v>871.73135543048932</v>
      </c>
      <c r="V87" s="2"/>
      <c r="W87" s="2"/>
      <c r="X87" s="2"/>
      <c r="Y87" s="2"/>
      <c r="Z87" s="2"/>
      <c r="AA87" s="2"/>
    </row>
    <row r="88" spans="2:27" x14ac:dyDescent="0.25">
      <c r="B88" cm="1">
        <f t="array" ref="B88">B87+log_interval</f>
        <v>3.3963130121662219</v>
      </c>
      <c r="C88">
        <f t="shared" si="1"/>
        <v>29.853826189179731</v>
      </c>
      <c r="D88">
        <f ca="1"/>
        <v>887.88936219088339</v>
      </c>
      <c r="E88">
        <f ca="1"/>
        <v>6.7122668425594898E-3</v>
      </c>
      <c r="F88">
        <f ca="1"/>
        <v>2</v>
      </c>
      <c r="G88">
        <f ca="1"/>
        <v>29.882124088910864</v>
      </c>
      <c r="H88">
        <f t="shared" ca="1" si="2"/>
        <v>25.985578202892953</v>
      </c>
      <c r="J88" s="5" cm="1">
        <f t="array" aca="1" ref="J88" ca="1">thm_rate($C88,qi,Di,bi,bf,telf,bterm,tterm)</f>
        <v>887.88936219088339</v>
      </c>
      <c r="K88" s="5" cm="1">
        <f t="array" aca="1" ref="K88" ca="1">thm_D($C88,qi,Di,bi,bf,telf,bterm,tterm)</f>
        <v>6.7122668425594898E-3</v>
      </c>
      <c r="L88" s="3" cm="1">
        <f t="array" aca="1" ref="L88" ca="1">thm_D_eff(C88,qi,Di,bi,bf,telf,bterm,tterm)</f>
        <v>0.58842198251374511</v>
      </c>
      <c r="M88" cm="1">
        <f t="array" aca="1" ref="M88" ca="1">thm_b(C88,qi,Di,bi,bf,telf,bterm,tterm)</f>
        <v>2</v>
      </c>
      <c r="N88" cm="1">
        <f t="array" aca="1" ref="N88" ca="1">thm_monthly_vol(C88,qi,Di,bi,bf,telf,bterm,tterm)</f>
        <v>30.466351153537516</v>
      </c>
      <c r="O88" cm="1">
        <f t="array" aca="1" ref="O88" ca="1">thm_cum($C88,qi,Di,bi,bf,telf,bterm,tterm)</f>
        <v>29.882124088910864</v>
      </c>
      <c r="Q88" cm="1">
        <f t="array" aca="1" ref="Q88" ca="1">thm_rate(C88,$F$3,$F$4,$F$5,$F$6,$F$7,$F$8,$F$9)</f>
        <v>863.97646215985037</v>
      </c>
      <c r="V88" s="2"/>
      <c r="W88" s="2"/>
      <c r="X88" s="2"/>
      <c r="Y88" s="2"/>
      <c r="Z88" s="2"/>
      <c r="AA88" s="2"/>
    </row>
    <row r="89" spans="2:27" x14ac:dyDescent="0.25">
      <c r="B89" cm="1">
        <f t="array" ref="B89">B88+log_interval</f>
        <v>3.4538776394910733</v>
      </c>
      <c r="C89">
        <f t="shared" si="1"/>
        <v>31.622776601683945</v>
      </c>
      <c r="D89">
        <f ca="1"/>
        <v>877.53098643396913</v>
      </c>
      <c r="E89">
        <f ca="1"/>
        <v>6.5565658800895823E-3</v>
      </c>
      <c r="F89">
        <f ca="1"/>
        <v>2</v>
      </c>
      <c r="G89">
        <f ca="1"/>
        <v>31.443540860635988</v>
      </c>
      <c r="H89">
        <f t="shared" ca="1" si="2"/>
        <v>27.343390569518817</v>
      </c>
      <c r="J89" s="5" cm="1">
        <f t="array" aca="1" ref="J89" ca="1">thm_rate($C89,qi,Di,bi,bf,telf,bterm,tterm)</f>
        <v>877.53098643396913</v>
      </c>
      <c r="K89" s="5" cm="1">
        <f t="array" aca="1" ref="K89" ca="1">thm_D($C89,qi,Di,bi,bf,telf,bterm,tterm)</f>
        <v>6.5565658800895823E-3</v>
      </c>
      <c r="L89" s="3" cm="1">
        <f t="array" aca="1" ref="L89" ca="1">thm_D_eff(C89,qi,Di,bi,bf,telf,bterm,tterm)</f>
        <v>0.58439879910193948</v>
      </c>
      <c r="M89" cm="1">
        <f t="array" aca="1" ref="M89" ca="1">thm_b(C89,qi,Di,bi,bf,telf,bterm,tterm)</f>
        <v>2</v>
      </c>
      <c r="N89" cm="1">
        <f t="array" aca="1" ref="N89" ca="1">thm_monthly_vol(C89,qi,Di,bi,bf,telf,bterm,tterm)</f>
        <v>30.092935808067125</v>
      </c>
      <c r="O89" cm="1">
        <f t="array" aca="1" ref="O89" ca="1">thm_cum($C89,qi,Di,bi,bf,telf,bterm,tterm)</f>
        <v>31.443540860635988</v>
      </c>
      <c r="Q89" cm="1">
        <f t="array" aca="1" ref="Q89" ca="1">thm_rate(C89,$F$3,$F$4,$F$5,$F$6,$F$7,$F$8,$F$9)</f>
        <v>855.91113784639037</v>
      </c>
      <c r="V89" s="2"/>
      <c r="W89" s="2"/>
      <c r="X89" s="2"/>
      <c r="Y89" s="2"/>
      <c r="Z89" s="2"/>
      <c r="AA89" s="2"/>
    </row>
    <row r="90" spans="2:27" x14ac:dyDescent="0.25">
      <c r="B90" cm="1">
        <f t="array" ref="B90">B89+log_interval</f>
        <v>3.5114422668159246</v>
      </c>
      <c r="C90">
        <f t="shared" si="1"/>
        <v>33.496543915782929</v>
      </c>
      <c r="D90">
        <f ca="1"/>
        <v>866.9447882225918</v>
      </c>
      <c r="E90">
        <f ca="1"/>
        <v>6.3993282563374245E-3</v>
      </c>
      <c r="F90">
        <f ca="1"/>
        <v>2</v>
      </c>
      <c r="G90">
        <f ca="1"/>
        <v>33.077851517298456</v>
      </c>
      <c r="H90">
        <f t="shared" ca="1" si="2"/>
        <v>28.764591661186991</v>
      </c>
      <c r="J90" s="5" cm="1">
        <f t="array" aca="1" ref="J90" ca="1">thm_rate($C90,qi,Di,bi,bf,telf,bterm,tterm)</f>
        <v>866.9447882225918</v>
      </c>
      <c r="K90" s="5" cm="1">
        <f t="array" aca="1" ref="K90" ca="1">thm_D($C90,qi,Di,bi,bf,telf,bterm,tterm)</f>
        <v>6.3993282563374245E-3</v>
      </c>
      <c r="L90" s="3" cm="1">
        <f t="array" aca="1" ref="L90" ca="1">thm_D_eff(C90,qi,Di,bi,bf,telf,bterm,tterm)</f>
        <v>0.58021376767220123</v>
      </c>
      <c r="M90" cm="1">
        <f t="array" aca="1" ref="M90" ca="1">thm_b(C90,qi,Di,bi,bf,telf,bterm,tterm)</f>
        <v>2</v>
      </c>
      <c r="N90" cm="1">
        <f t="array" aca="1" ref="N90" ca="1">thm_monthly_vol(C90,qi,Di,bi,bf,telf,bterm,tterm)</f>
        <v>29.627267492249246</v>
      </c>
      <c r="O90" cm="1">
        <f t="array" aca="1" ref="O90" ca="1">thm_cum($C90,qi,Di,bi,bf,telf,bterm,tterm)</f>
        <v>33.077851517298456</v>
      </c>
      <c r="Q90" cm="1">
        <f t="array" aca="1" ref="Q90" ca="1">thm_rate(C90,$F$3,$F$4,$F$5,$F$6,$F$7,$F$8,$F$9)</f>
        <v>847.53053464752031</v>
      </c>
      <c r="V90" s="2"/>
      <c r="W90" s="2"/>
      <c r="X90" s="2"/>
      <c r="Y90" s="2"/>
      <c r="Z90" s="2"/>
      <c r="AA90" s="2"/>
    </row>
    <row r="91" spans="2:27" x14ac:dyDescent="0.25">
      <c r="B91" cm="1">
        <f t="array" ref="B91">B90+log_interval</f>
        <v>3.569006894140776</v>
      </c>
      <c r="C91">
        <f t="shared" si="1"/>
        <v>35.481338923357733</v>
      </c>
      <c r="D91">
        <f ca="1"/>
        <v>856.13885943391801</v>
      </c>
      <c r="E91">
        <f ca="1"/>
        <v>6.2407951497862203E-3</v>
      </c>
      <c r="F91">
        <f ca="1"/>
        <v>2</v>
      </c>
      <c r="G91">
        <f ca="1"/>
        <v>34.787768176312852</v>
      </c>
      <c r="H91">
        <f t="shared" ca="1" si="2"/>
        <v>30.251539942742951</v>
      </c>
      <c r="J91" s="5" cm="1">
        <f t="array" aca="1" ref="J91" ca="1">thm_rate($C91,qi,Di,bi,bf,telf,bterm,tterm)</f>
        <v>856.13885943391801</v>
      </c>
      <c r="K91" s="5" cm="1">
        <f t="array" aca="1" ref="K91" ca="1">thm_D($C91,qi,Di,bi,bf,telf,bterm,tterm)</f>
        <v>6.2407951497862203E-3</v>
      </c>
      <c r="L91" s="3" cm="1">
        <f t="array" aca="1" ref="L91" ca="1">thm_D_eff(C91,qi,Di,bi,bf,telf,bterm,tterm)</f>
        <v>0.57586360983440077</v>
      </c>
      <c r="M91" cm="1">
        <f t="array" aca="1" ref="M91" ca="1">thm_b(C91,qi,Di,bi,bf,telf,bterm,tterm)</f>
        <v>2</v>
      </c>
      <c r="N91" cm="1">
        <f t="array" aca="1" ref="N91" ca="1">thm_monthly_vol(C91,qi,Di,bi,bf,telf,bterm,tterm)</f>
        <v>29.157286726850572</v>
      </c>
      <c r="O91" cm="1">
        <f t="array" aca="1" ref="O91" ca="1">thm_cum($C91,qi,Di,bi,bf,telf,bterm,tterm)</f>
        <v>34.787768176312852</v>
      </c>
      <c r="Q91" cm="1">
        <f t="array" aca="1" ref="Q91" ca="1">thm_rate(C91,$F$3,$F$4,$F$5,$F$6,$F$7,$F$8,$F$9)</f>
        <v>838.83050334196207</v>
      </c>
      <c r="V91" s="2"/>
      <c r="W91" s="2"/>
      <c r="X91" s="2"/>
      <c r="Y91" s="2"/>
      <c r="Z91" s="2"/>
      <c r="AA91" s="2"/>
    </row>
    <row r="92" spans="2:27" x14ac:dyDescent="0.25">
      <c r="B92" cm="1">
        <f t="array" ref="B92">B91+log_interval</f>
        <v>3.6265715214656273</v>
      </c>
      <c r="C92">
        <f t="shared" si="1"/>
        <v>37.583740428844621</v>
      </c>
      <c r="D92">
        <f ca="1"/>
        <v>845.12210753279726</v>
      </c>
      <c r="E92">
        <f ca="1"/>
        <v>6.0812160485159026E-3</v>
      </c>
      <c r="F92">
        <f ca="1"/>
        <v>2</v>
      </c>
      <c r="G92">
        <f ca="1"/>
        <v>36.576059992205096</v>
      </c>
      <c r="H92">
        <f t="shared" ca="1" si="2"/>
        <v>31.806643478662814</v>
      </c>
      <c r="J92" s="5" cm="1">
        <f t="array" aca="1" ref="J92" ca="1">thm_rate($C92,qi,Di,bi,bf,telf,bterm,tterm)</f>
        <v>845.12210753279726</v>
      </c>
      <c r="K92" s="5" cm="1">
        <f t="array" aca="1" ref="K92" ca="1">thm_D($C92,qi,Di,bi,bf,telf,bterm,tterm)</f>
        <v>6.0812160485159026E-3</v>
      </c>
      <c r="L92" s="3" cm="1">
        <f t="array" aca="1" ref="L92" ca="1">thm_D_eff(C92,qi,Di,bi,bf,telf,bterm,tterm)</f>
        <v>0.57134525958047711</v>
      </c>
      <c r="M92" cm="1">
        <f t="array" aca="1" ref="M92" ca="1">thm_b(C92,qi,Di,bi,bf,telf,bterm,tterm)</f>
        <v>2</v>
      </c>
      <c r="N92" cm="1">
        <f t="array" aca="1" ref="N92" ca="1">thm_monthly_vol(C92,qi,Di,bi,bf,telf,bterm,tterm)</f>
        <v>28.683495596381761</v>
      </c>
      <c r="O92" cm="1">
        <f t="array" aca="1" ref="O92" ca="1">thm_cum($C92,qi,Di,bi,bf,telf,bterm,tterm)</f>
        <v>36.576059992205096</v>
      </c>
      <c r="Q92" cm="1">
        <f t="array" aca="1" ref="Q92" ca="1">thm_rate(C92,$F$3,$F$4,$F$5,$F$6,$F$7,$F$8,$F$9)</f>
        <v>829.8076706052226</v>
      </c>
      <c r="V92" s="2"/>
      <c r="W92" s="2"/>
      <c r="X92" s="2"/>
      <c r="Y92" s="2"/>
      <c r="Z92" s="2"/>
      <c r="AA92" s="2"/>
    </row>
    <row r="93" spans="2:27" x14ac:dyDescent="0.25">
      <c r="B93" cm="1">
        <f t="array" ref="B93">B92+log_interval</f>
        <v>3.6841361487904787</v>
      </c>
      <c r="C93">
        <f t="shared" si="1"/>
        <v>39.810717055349947</v>
      </c>
      <c r="D93">
        <f ca="1"/>
        <v>833.90376978220695</v>
      </c>
      <c r="E93">
        <f ca="1"/>
        <v>5.9245926204054798E-3</v>
      </c>
      <c r="F93">
        <f ca="1"/>
        <v>1.6321205588285583</v>
      </c>
      <c r="G93">
        <f ca="1"/>
        <v>38.44555269142657</v>
      </c>
      <c r="H93">
        <f t="shared" ca="1" si="2"/>
        <v>33.432359528526376</v>
      </c>
      <c r="J93" s="5" cm="1">
        <f t="array" aca="1" ref="J93" ca="1">thm_rate($C93,qi,Di,bi,bf,telf,bterm,tterm)</f>
        <v>833.90376978220695</v>
      </c>
      <c r="K93" s="5" cm="1">
        <f t="array" aca="1" ref="K93" ca="1">thm_D($C93,qi,Di,bi,bf,telf,bterm,tterm)</f>
        <v>5.9245926204054798E-3</v>
      </c>
      <c r="L93" s="3" cm="1">
        <f t="array" aca="1" ref="L93" ca="1">thm_D_eff(C93,qi,Di,bi,bf,telf,bterm,tterm)</f>
        <v>0.60381255268370526</v>
      </c>
      <c r="M93" cm="1">
        <f t="array" aca="1" ref="M93" ca="1">thm_b(C93,qi,Di,bi,bf,telf,bterm,tterm)</f>
        <v>1.6321205588285583</v>
      </c>
      <c r="N93" cm="1">
        <f t="array" aca="1" ref="N93" ca="1">thm_monthly_vol(C93,qi,Di,bi,bf,telf,bterm,tterm)</f>
        <v>28.206405040180925</v>
      </c>
      <c r="O93" cm="1">
        <f t="array" aca="1" ref="O93" ca="1">thm_cum($C93,qi,Di,bi,bf,telf,bterm,tterm)</f>
        <v>38.44555269142657</v>
      </c>
      <c r="Q93" cm="1">
        <f t="array" aca="1" ref="Q93" ca="1">thm_rate(C93,$F$3,$F$4,$F$5,$F$6,$F$7,$F$8,$F$9)</f>
        <v>820.45951681166957</v>
      </c>
      <c r="V93" s="2"/>
      <c r="W93" s="2"/>
      <c r="X93" s="2"/>
      <c r="Y93" s="2"/>
      <c r="Z93" s="2"/>
      <c r="AA93" s="2"/>
    </row>
    <row r="94" spans="2:27" x14ac:dyDescent="0.25">
      <c r="B94" cm="1">
        <f t="array" ref="B94">B93+log_interval</f>
        <v>3.74170077611533</v>
      </c>
      <c r="C94">
        <f t="shared" si="1"/>
        <v>42.169650342858468</v>
      </c>
      <c r="D94">
        <f ca="1"/>
        <v>822.45955102972903</v>
      </c>
      <c r="E94">
        <f ca="1"/>
        <v>5.7924661325854153E-3</v>
      </c>
      <c r="F94">
        <f ca="1"/>
        <v>1.6321205588285583</v>
      </c>
      <c r="G94">
        <f ca="1"/>
        <v>40.39909615275073</v>
      </c>
      <c r="H94">
        <f t="shared" ca="1" si="2"/>
        <v>35.131166354839884</v>
      </c>
      <c r="J94" s="5" cm="1">
        <f t="array" aca="1" ref="J94" ca="1">thm_rate($C94,qi,Di,bi,bf,telf,bterm,tterm)</f>
        <v>822.45955102972903</v>
      </c>
      <c r="K94" s="5" cm="1">
        <f t="array" aca="1" ref="K94" ca="1">thm_D($C94,qi,Di,bi,bf,telf,bterm,tterm)</f>
        <v>5.7924661325854153E-3</v>
      </c>
      <c r="L94" s="3" cm="1">
        <f t="array" aca="1" ref="L94" ca="1">thm_D_eff(C94,qi,Di,bi,bf,telf,bterm,tterm)</f>
        <v>0.59953354739908304</v>
      </c>
      <c r="M94" cm="1">
        <f t="array" aca="1" ref="M94" ca="1">thm_b(C94,qi,Di,bi,bf,telf,bterm,tterm)</f>
        <v>1.6321205588285583</v>
      </c>
      <c r="N94" cm="1">
        <f t="array" aca="1" ref="N94" ca="1">thm_monthly_vol(C94,qi,Di,bi,bf,telf,bterm,tterm)</f>
        <v>27.726500317621987</v>
      </c>
      <c r="O94" cm="1">
        <f t="array" aca="1" ref="O94" ca="1">thm_cum($C94,qi,Di,bi,bf,telf,bterm,tterm)</f>
        <v>40.39909615275073</v>
      </c>
      <c r="Q94" cm="1">
        <f t="array" aca="1" ref="Q94" ca="1">thm_rate(C94,$F$3,$F$4,$F$5,$F$6,$F$7,$F$8,$F$9)</f>
        <v>810.78445348563423</v>
      </c>
      <c r="V94" s="2"/>
      <c r="W94" s="2"/>
      <c r="X94" s="2"/>
      <c r="Y94" s="2"/>
      <c r="Z94" s="2"/>
      <c r="AA94" s="2"/>
    </row>
    <row r="95" spans="2:27" x14ac:dyDescent="0.25">
      <c r="B95" cm="1">
        <f t="array" ref="B95">B94+log_interval</f>
        <v>3.7992654034401814</v>
      </c>
      <c r="C95">
        <f t="shared" ref="C95:C158" si="5">EXP(B95)</f>
        <v>44.668359215096579</v>
      </c>
      <c r="D95">
        <f ca="1"/>
        <v>810.7777124670738</v>
      </c>
      <c r="E95">
        <f ca="1"/>
        <v>5.6587896684927082E-3</v>
      </c>
      <c r="F95">
        <f ca="1"/>
        <v>1.6321205588285583</v>
      </c>
      <c r="G95">
        <f ca="1"/>
        <v>42.439496783720386</v>
      </c>
      <c r="H95">
        <f t="shared" ref="H95:H158" ca="1" si="6">$I$3*G95</f>
        <v>36.905504417406533</v>
      </c>
      <c r="J95" s="5" cm="1">
        <f t="array" aca="1" ref="J95" ca="1">thm_rate($C95,qi,Di,bi,bf,telf,bterm,tterm)</f>
        <v>810.7777124670738</v>
      </c>
      <c r="K95" s="5" cm="1">
        <f t="array" aca="1" ref="K95" ca="1">thm_D($C95,qi,Di,bi,bf,telf,bterm,tterm)</f>
        <v>5.6587896684927082E-3</v>
      </c>
      <c r="L95" s="3" cm="1">
        <f t="array" aca="1" ref="L95" ca="1">thm_D_eff(C95,qi,Di,bi,bf,telf,bterm,tterm)</f>
        <v>0.59507830641416348</v>
      </c>
      <c r="M95" cm="1">
        <f t="array" aca="1" ref="M95" ca="1">thm_b(C95,qi,Di,bi,bf,telf,bterm,tterm)</f>
        <v>1.6321205588285583</v>
      </c>
      <c r="N95" cm="1">
        <f t="array" aca="1" ref="N95" ca="1">thm_monthly_vol(C95,qi,Di,bi,bf,telf,bterm,tterm)</f>
        <v>27.244171154236035</v>
      </c>
      <c r="O95" cm="1">
        <f t="array" aca="1" ref="O95" ca="1">thm_cum($C95,qi,Di,bi,bf,telf,bterm,tterm)</f>
        <v>42.439496783720386</v>
      </c>
      <c r="Q95" cm="1">
        <f t="array" aca="1" ref="Q95" ca="1">thm_rate(C95,$F$3,$F$4,$F$5,$F$6,$F$7,$F$8,$F$9)</f>
        <v>800.78189942428139</v>
      </c>
      <c r="V95" s="2"/>
      <c r="W95" s="2"/>
      <c r="X95" s="2"/>
      <c r="Y95" s="2"/>
      <c r="Z95" s="2"/>
      <c r="AA95" s="2"/>
    </row>
    <row r="96" spans="2:27" x14ac:dyDescent="0.25">
      <c r="B96" cm="1">
        <f t="array" ref="B96">B95+log_interval</f>
        <v>3.8568300307650327</v>
      </c>
      <c r="C96">
        <f t="shared" si="5"/>
        <v>47.315125896148338</v>
      </c>
      <c r="D96">
        <f ca="1"/>
        <v>798.86866919074157</v>
      </c>
      <c r="E96">
        <f ca="1"/>
        <v>5.5237608966695615E-3</v>
      </c>
      <c r="F96">
        <f ca="1"/>
        <v>1.6321205588285583</v>
      </c>
      <c r="G96">
        <f ca="1"/>
        <v>44.569573684647267</v>
      </c>
      <c r="H96">
        <f t="shared" ca="1" si="6"/>
        <v>38.757825213696641</v>
      </c>
      <c r="J96" s="5" cm="1">
        <f t="array" aca="1" ref="J96" ca="1">thm_rate($C96,qi,Di,bi,bf,telf,bterm,tterm)</f>
        <v>798.86866919074157</v>
      </c>
      <c r="K96" s="5" cm="1">
        <f t="array" aca="1" ref="K96" ca="1">thm_D($C96,qi,Di,bi,bf,telf,bterm,tterm)</f>
        <v>5.5237608966695615E-3</v>
      </c>
      <c r="L96" s="3" cm="1">
        <f t="array" aca="1" ref="L96" ca="1">thm_D_eff(C96,qi,Di,bi,bf,telf,bterm,tterm)</f>
        <v>0.59044307432640708</v>
      </c>
      <c r="M96" cm="1">
        <f t="array" aca="1" ref="M96" ca="1">thm_b(C96,qi,Di,bi,bf,telf,bterm,tterm)</f>
        <v>1.6321205588285583</v>
      </c>
      <c r="N96" cm="1">
        <f t="array" aca="1" ref="N96" ca="1">thm_monthly_vol(C96,qi,Di,bi,bf,telf,bterm,tterm)</f>
        <v>26.759765565263621</v>
      </c>
      <c r="O96" cm="1">
        <f t="array" aca="1" ref="O96" ca="1">thm_cum($C96,qi,Di,bi,bf,telf,bterm,tterm)</f>
        <v>44.569573684647267</v>
      </c>
      <c r="Q96" cm="1">
        <f t="array" aca="1" ref="Q96" ca="1">thm_rate(C96,$F$3,$F$4,$F$5,$F$6,$F$7,$F$8,$F$9)</f>
        <v>790.45235442255046</v>
      </c>
      <c r="V96" s="2"/>
      <c r="W96" s="2"/>
      <c r="X96" s="2"/>
      <c r="Y96" s="2"/>
      <c r="Z96" s="2"/>
      <c r="AA96" s="2"/>
    </row>
    <row r="97" spans="2:27" x14ac:dyDescent="0.25">
      <c r="B97" cm="1">
        <f t="array" ref="B97">B96+log_interval</f>
        <v>3.9143946580898841</v>
      </c>
      <c r="C97">
        <f t="shared" si="5"/>
        <v>50.11872336272755</v>
      </c>
      <c r="D97">
        <f ca="1"/>
        <v>786.74378730870092</v>
      </c>
      <c r="E97">
        <f ca="1"/>
        <v>5.3875860223760339E-3</v>
      </c>
      <c r="F97">
        <f ca="1"/>
        <v>1.6321205588285583</v>
      </c>
      <c r="G97">
        <f ca="1"/>
        <v>46.792169184687332</v>
      </c>
      <c r="H97">
        <f t="shared" ca="1" si="6"/>
        <v>40.690600441048097</v>
      </c>
      <c r="J97" s="5" cm="1">
        <f t="array" aca="1" ref="J97" ca="1">thm_rate($C97,qi,Di,bi,bf,telf,bterm,tterm)</f>
        <v>786.74378730870092</v>
      </c>
      <c r="K97" s="5" cm="1">
        <f t="array" aca="1" ref="K97" ca="1">thm_D($C97,qi,Di,bi,bf,telf,bterm,tterm)</f>
        <v>5.3875860223760339E-3</v>
      </c>
      <c r="L97" s="3" cm="1">
        <f t="array" aca="1" ref="L97" ca="1">thm_D_eff(C97,qi,Di,bi,bf,telf,bterm,tterm)</f>
        <v>0.58562433916286549</v>
      </c>
      <c r="M97" cm="1">
        <f t="array" aca="1" ref="M97" ca="1">thm_b(C97,qi,Di,bi,bf,telf,bterm,tterm)</f>
        <v>1.6321205588285583</v>
      </c>
      <c r="N97" cm="1">
        <f t="array" aca="1" ref="N97" ca="1">thm_monthly_vol(C97,qi,Di,bi,bf,telf,bterm,tterm)</f>
        <v>26.273597946247598</v>
      </c>
      <c r="O97" cm="1">
        <f t="array" aca="1" ref="O97" ca="1">thm_cum($C97,qi,Di,bi,bf,telf,bterm,tterm)</f>
        <v>46.792169184687332</v>
      </c>
      <c r="Q97" cm="1">
        <f t="array" aca="1" ref="Q97" ca="1">thm_rate(C97,$F$3,$F$4,$F$5,$F$6,$F$7,$F$8,$F$9)</f>
        <v>779.79746944880856</v>
      </c>
      <c r="V97" s="2"/>
      <c r="W97" s="2"/>
      <c r="X97" s="2"/>
      <c r="Y97" s="2"/>
      <c r="Z97" s="2"/>
      <c r="AA97" s="2"/>
    </row>
    <row r="98" spans="2:27" x14ac:dyDescent="0.25">
      <c r="B98" cm="1">
        <f t="array" ref="B98">B97+log_interval</f>
        <v>3.9719592854147354</v>
      </c>
      <c r="C98">
        <f t="shared" si="5"/>
        <v>53.088444423099183</v>
      </c>
      <c r="D98">
        <f ca="1"/>
        <v>774.41534129202273</v>
      </c>
      <c r="E98">
        <f ca="1"/>
        <v>5.250478588220895E-3</v>
      </c>
      <c r="F98">
        <f ca="1"/>
        <v>1.6321205588285583</v>
      </c>
      <c r="G98">
        <f ca="1"/>
        <v>49.110145920213213</v>
      </c>
      <c r="H98">
        <f t="shared" ca="1" si="6"/>
        <v>42.706319456010853</v>
      </c>
      <c r="J98" s="5" cm="1">
        <f t="array" aca="1" ref="J98" ca="1">thm_rate($C98,qi,Di,bi,bf,telf,bterm,tterm)</f>
        <v>774.41534129202273</v>
      </c>
      <c r="K98" s="5" cm="1">
        <f t="array" aca="1" ref="K98" ca="1">thm_D($C98,qi,Di,bi,bf,telf,bterm,tterm)</f>
        <v>5.250478588220895E-3</v>
      </c>
      <c r="L98" s="3" cm="1">
        <f t="array" aca="1" ref="L98" ca="1">thm_D_eff(C98,qi,Di,bi,bf,telf,bterm,tterm)</f>
        <v>0.5806188653617893</v>
      </c>
      <c r="M98" cm="1">
        <f t="array" aca="1" ref="M98" ca="1">thm_b(C98,qi,Di,bi,bf,telf,bterm,tterm)</f>
        <v>1.6321205588285583</v>
      </c>
      <c r="N98" cm="1">
        <f t="array" aca="1" ref="N98" ca="1">thm_monthly_vol(C98,qi,Di,bi,bf,telf,bterm,tterm)</f>
        <v>25.785943605936904</v>
      </c>
      <c r="O98" cm="1">
        <f t="array" aca="1" ref="O98" ca="1">thm_cum($C98,qi,Di,bi,bf,telf,bterm,tterm)</f>
        <v>49.110145920213213</v>
      </c>
      <c r="Q98" cm="1">
        <f t="array" aca="1" ref="Q98" ca="1">thm_rate(C98,$F$3,$F$4,$F$5,$F$6,$F$7,$F$8,$F$9)</f>
        <v>768.82011205270396</v>
      </c>
      <c r="V98" s="2"/>
      <c r="W98" s="2"/>
      <c r="X98" s="2"/>
      <c r="Y98" s="2"/>
      <c r="Z98" s="2"/>
      <c r="AA98" s="2"/>
    </row>
    <row r="99" spans="2:27" x14ac:dyDescent="0.25">
      <c r="B99" cm="1">
        <f t="array" ref="B99">B98+log_interval</f>
        <v>4.0295239127395863</v>
      </c>
      <c r="C99">
        <f t="shared" si="5"/>
        <v>56.234132519035263</v>
      </c>
      <c r="D99">
        <f ca="1"/>
        <v>761.89646237480554</v>
      </c>
      <c r="E99">
        <f ca="1"/>
        <v>5.1126581763430235E-3</v>
      </c>
      <c r="F99">
        <f ca="1"/>
        <v>1.6321205588285583</v>
      </c>
      <c r="G99">
        <f ca="1"/>
        <v>51.526384021845516</v>
      </c>
      <c r="H99">
        <f t="shared" ca="1" si="6"/>
        <v>44.80748682818156</v>
      </c>
      <c r="J99" s="5" cm="1">
        <f t="array" aca="1" ref="J99" ca="1">thm_rate($C99,qi,Di,bi,bf,telf,bterm,tterm)</f>
        <v>761.89646237480554</v>
      </c>
      <c r="K99" s="5" cm="1">
        <f t="array" aca="1" ref="K99" ca="1">thm_D($C99,qi,Di,bi,bf,telf,bterm,tterm)</f>
        <v>5.1126581763430235E-3</v>
      </c>
      <c r="L99" s="3" cm="1">
        <f t="array" aca="1" ref="L99" ca="1">thm_D_eff(C99,qi,Di,bi,bf,telf,bterm,tterm)</f>
        <v>0.57542372775128203</v>
      </c>
      <c r="M99" cm="1">
        <f t="array" aca="1" ref="M99" ca="1">thm_b(C99,qi,Di,bi,bf,telf,bterm,tterm)</f>
        <v>1.6321205588285583</v>
      </c>
      <c r="N99" cm="1">
        <f t="array" aca="1" ref="N99" ca="1">thm_monthly_vol(C99,qi,Di,bi,bf,telf,bterm,tterm)</f>
        <v>25.297033312775078</v>
      </c>
      <c r="O99" cm="1">
        <f t="array" aca="1" ref="O99" ca="1">thm_cum($C99,qi,Di,bi,bf,telf,bterm,tterm)</f>
        <v>51.526384021845516</v>
      </c>
      <c r="Q99" cm="1">
        <f t="array" aca="1" ref="Q99" ca="1">thm_rate(C99,$F$3,$F$4,$F$5,$F$6,$F$7,$F$8,$F$9)</f>
        <v>757.52442573794406</v>
      </c>
      <c r="V99" s="2"/>
      <c r="W99" s="2"/>
      <c r="X99" s="2"/>
      <c r="Y99" s="2"/>
      <c r="Z99" s="2"/>
      <c r="AA99" s="2"/>
    </row>
    <row r="100" spans="2:27" x14ac:dyDescent="0.25">
      <c r="B100" cm="1">
        <f t="array" ref="B100">B99+log_interval</f>
        <v>4.0870885400644372</v>
      </c>
      <c r="C100">
        <f t="shared" si="5"/>
        <v>59.566214352901412</v>
      </c>
      <c r="D100">
        <f ca="1"/>
        <v>749.2010784362227</v>
      </c>
      <c r="E100">
        <f ca="1"/>
        <v>4.9743490282633156E-3</v>
      </c>
      <c r="F100">
        <f ca="1"/>
        <v>1.6321205588285583</v>
      </c>
      <c r="G100">
        <f ca="1"/>
        <v>54.043778444986707</v>
      </c>
      <c r="H100">
        <f t="shared" ca="1" si="6"/>
        <v>46.996620018828395</v>
      </c>
      <c r="J100" s="5" cm="1">
        <f t="array" aca="1" ref="J100" ca="1">thm_rate($C100,qi,Di,bi,bf,telf,bterm,tterm)</f>
        <v>749.2010784362227</v>
      </c>
      <c r="K100" s="5" cm="1">
        <f t="array" aca="1" ref="K100" ca="1">thm_D($C100,qi,Di,bi,bf,telf,bterm,tterm)</f>
        <v>4.9743490282633156E-3</v>
      </c>
      <c r="L100" s="3" cm="1">
        <f t="array" aca="1" ref="L100" ca="1">thm_D_eff(C100,qi,Di,bi,bf,telf,bterm,tterm)</f>
        <v>0.57003634633186229</v>
      </c>
      <c r="M100" cm="1">
        <f t="array" aca="1" ref="M100" ca="1">thm_b(C100,qi,Di,bi,bf,telf,bterm,tterm)</f>
        <v>1.6321205588285583</v>
      </c>
      <c r="N100" cm="1">
        <f t="array" aca="1" ref="N100" ca="1">thm_monthly_vol(C100,qi,Di,bi,bf,telf,bterm,tterm)</f>
        <v>24.807047894507868</v>
      </c>
      <c r="O100" cm="1">
        <f t="array" aca="1" ref="O100" ca="1">thm_cum($C100,qi,Di,bi,bf,telf,bterm,tterm)</f>
        <v>54.043778444986707</v>
      </c>
      <c r="Q100" cm="1">
        <f t="array" aca="1" ref="Q100" ca="1">thm_rate(C100,$F$3,$F$4,$F$5,$F$6,$F$7,$F$8,$F$9)</f>
        <v>745.91588200612455</v>
      </c>
      <c r="V100" s="2"/>
      <c r="W100" s="2"/>
      <c r="X100" s="2"/>
      <c r="Y100" s="2"/>
      <c r="Z100" s="2"/>
      <c r="AA100" s="2"/>
    </row>
    <row r="101" spans="2:27" x14ac:dyDescent="0.25">
      <c r="B101" cm="1">
        <f t="array" ref="B101">B100+log_interval</f>
        <v>4.1446531673892881</v>
      </c>
      <c r="C101">
        <f t="shared" si="5"/>
        <v>63.095734448019698</v>
      </c>
      <c r="D101">
        <f ca="1"/>
        <v>736.34384595337281</v>
      </c>
      <c r="E101">
        <f ca="1"/>
        <v>4.835778600433176E-3</v>
      </c>
      <c r="F101">
        <f ca="1"/>
        <v>1.6321205588285583</v>
      </c>
      <c r="G101">
        <f ca="1"/>
        <v>56.665236477589872</v>
      </c>
      <c r="H101">
        <f t="shared" ca="1" si="6"/>
        <v>49.276247213639842</v>
      </c>
      <c r="J101" s="5" cm="1">
        <f t="array" aca="1" ref="J101" ca="1">thm_rate($C101,qi,Di,bi,bf,telf,bterm,tterm)</f>
        <v>736.34384595337281</v>
      </c>
      <c r="K101" s="5" cm="1">
        <f t="array" aca="1" ref="K101" ca="1">thm_D($C101,qi,Di,bi,bf,telf,bterm,tterm)</f>
        <v>4.835778600433176E-3</v>
      </c>
      <c r="L101" s="3" cm="1">
        <f t="array" aca="1" ref="L101" ca="1">thm_D_eff(C101,qi,Di,bi,bf,telf,bterm,tterm)</f>
        <v>0.56445452164062315</v>
      </c>
      <c r="M101" cm="1">
        <f t="array" aca="1" ref="M101" ca="1">thm_b(C101,qi,Di,bi,bf,telf,bterm,tterm)</f>
        <v>1.6321205588285583</v>
      </c>
      <c r="N101" cm="1">
        <f t="array" aca="1" ref="N101" ca="1">thm_monthly_vol(C101,qi,Di,bi,bf,telf,bterm,tterm)</f>
        <v>24.316112929034894</v>
      </c>
      <c r="O101" cm="1">
        <f t="array" aca="1" ref="O101" ca="1">thm_cum($C101,qi,Di,bi,bf,telf,bterm,tterm)</f>
        <v>56.665236477589872</v>
      </c>
      <c r="Q101" cm="1">
        <f t="array" aca="1" ref="Q101" ca="1">thm_rate(C101,$F$3,$F$4,$F$5,$F$6,$F$7,$F$8,$F$9)</f>
        <v>734.00132377695525</v>
      </c>
      <c r="V101" s="2"/>
      <c r="W101" s="2"/>
      <c r="X101" s="2"/>
      <c r="Y101" s="2"/>
      <c r="Z101" s="2"/>
      <c r="AA101" s="2"/>
    </row>
    <row r="102" spans="2:27" x14ac:dyDescent="0.25">
      <c r="B102" cm="1">
        <f t="array" ref="B102">B101+log_interval</f>
        <v>4.202217794714139</v>
      </c>
      <c r="C102">
        <f t="shared" si="5"/>
        <v>66.834391756861834</v>
      </c>
      <c r="D102">
        <f ca="1"/>
        <v>723.3400747590656</v>
      </c>
      <c r="E102">
        <f ca="1"/>
        <v>4.6971760750181505E-3</v>
      </c>
      <c r="F102">
        <f ca="1"/>
        <v>1.6321205588285583</v>
      </c>
      <c r="G102">
        <f ca="1"/>
        <v>59.393675457207237</v>
      </c>
      <c r="H102">
        <f t="shared" ca="1" si="6"/>
        <v>51.648905337463752</v>
      </c>
      <c r="J102" s="5" cm="1">
        <f t="array" aca="1" ref="J102" ca="1">thm_rate($C102,qi,Di,bi,bf,telf,bterm,tterm)</f>
        <v>723.3400747590656</v>
      </c>
      <c r="K102" s="5" cm="1">
        <f t="array" aca="1" ref="K102" ca="1">thm_D($C102,qi,Di,bi,bf,telf,bterm,tterm)</f>
        <v>4.6971760750181505E-3</v>
      </c>
      <c r="L102" s="3" cm="1">
        <f t="array" aca="1" ref="L102" ca="1">thm_D_eff(C102,qi,Di,bi,bf,telf,bterm,tterm)</f>
        <v>0.55867647044481172</v>
      </c>
      <c r="M102" cm="1">
        <f t="array" aca="1" ref="M102" ca="1">thm_b(C102,qi,Di,bi,bf,telf,bterm,tterm)</f>
        <v>1.6321205588285583</v>
      </c>
      <c r="N102" cm="1">
        <f t="array" aca="1" ref="N102" ca="1">thm_monthly_vol(C102,qi,Di,bi,bf,telf,bterm,tterm)</f>
        <v>23.824293562583222</v>
      </c>
      <c r="O102" cm="1">
        <f t="array" aca="1" ref="O102" ca="1">thm_cum($C102,qi,Di,bi,bf,telf,bterm,tterm)</f>
        <v>59.393675457207237</v>
      </c>
      <c r="Q102" cm="1">
        <f t="array" aca="1" ref="Q102" ca="1">thm_rate(C102,$F$3,$F$4,$F$5,$F$6,$F$7,$F$8,$F$9)</f>
        <v>721.78899891845811</v>
      </c>
      <c r="V102" s="2"/>
      <c r="W102" s="2"/>
      <c r="X102" s="2"/>
      <c r="Y102" s="2"/>
      <c r="Z102" s="2"/>
      <c r="AA102" s="2"/>
    </row>
    <row r="103" spans="2:27" x14ac:dyDescent="0.25">
      <c r="B103" cm="1">
        <f t="array" ref="B103">B102+log_interval</f>
        <v>4.2597824220389899</v>
      </c>
      <c r="C103">
        <f t="shared" si="5"/>
        <v>70.794578438414177</v>
      </c>
      <c r="D103">
        <f ca="1"/>
        <v>710.20564647046535</v>
      </c>
      <c r="E103">
        <f ca="1"/>
        <v>4.5587708465201129E-3</v>
      </c>
      <c r="F103">
        <f ca="1"/>
        <v>1.6321205588285583</v>
      </c>
      <c r="G103">
        <f ca="1"/>
        <v>62.23202072711635</v>
      </c>
      <c r="H103">
        <f t="shared" ca="1" si="6"/>
        <v>54.117138276948971</v>
      </c>
      <c r="J103" s="5" cm="1">
        <f t="array" aca="1" ref="J103" ca="1">thm_rate($C103,qi,Di,bi,bf,telf,bterm,tterm)</f>
        <v>710.20564647046535</v>
      </c>
      <c r="K103" s="5" cm="1">
        <f t="array" aca="1" ref="K103" ca="1">thm_D($C103,qi,Di,bi,bf,telf,bterm,tterm)</f>
        <v>4.5587708465201129E-3</v>
      </c>
      <c r="L103" s="3" cm="1">
        <f t="array" aca="1" ref="L103" ca="1">thm_D_eff(C103,qi,Di,bi,bf,telf,bterm,tterm)</f>
        <v>0.55270086148242747</v>
      </c>
      <c r="M103" cm="1">
        <f t="array" aca="1" ref="M103" ca="1">thm_b(C103,qi,Di,bi,bf,telf,bterm,tterm)</f>
        <v>1.6321205588285583</v>
      </c>
      <c r="N103" cm="1">
        <f t="array" aca="1" ref="N103" ca="1">thm_monthly_vol(C103,qi,Di,bi,bf,telf,bterm,tterm)</f>
        <v>23.331590533839005</v>
      </c>
      <c r="O103" cm="1">
        <f t="array" aca="1" ref="O103" ca="1">thm_cum($C103,qi,Di,bi,bf,telf,bterm,tterm)</f>
        <v>62.23202072711635</v>
      </c>
      <c r="Q103" cm="1">
        <f t="array" aca="1" ref="Q103" ca="1">thm_rate(C103,$F$3,$F$4,$F$5,$F$6,$F$7,$F$8,$F$9)</f>
        <v>709.28858268066551</v>
      </c>
      <c r="V103" s="2"/>
      <c r="W103" s="2"/>
      <c r="X103" s="2"/>
      <c r="Y103" s="2"/>
      <c r="Z103" s="2"/>
      <c r="AA103" s="2"/>
    </row>
    <row r="104" spans="2:27" x14ac:dyDescent="0.25">
      <c r="B104" cm="1">
        <f t="array" ref="B104">B103+log_interval</f>
        <v>4.3173470493638408</v>
      </c>
      <c r="C104">
        <f t="shared" si="5"/>
        <v>74.989420933245967</v>
      </c>
      <c r="D104">
        <f ca="1"/>
        <v>696.95692756879862</v>
      </c>
      <c r="E104">
        <f ca="1"/>
        <v>4.4207910054201993E-3</v>
      </c>
      <c r="F104">
        <f ca="1"/>
        <v>1.6321205588285583</v>
      </c>
      <c r="G104">
        <f ca="1"/>
        <v>65.18320385857308</v>
      </c>
      <c r="H104">
        <f t="shared" ca="1" si="6"/>
        <v>56.683495334611614</v>
      </c>
      <c r="J104" s="5" cm="1">
        <f t="array" aca="1" ref="J104" ca="1">thm_rate($C104,qi,Di,bi,bf,telf,bterm,tterm)</f>
        <v>696.95692756879862</v>
      </c>
      <c r="K104" s="5" cm="1">
        <f t="array" aca="1" ref="K104" ca="1">thm_D($C104,qi,Di,bi,bf,telf,bterm,tterm)</f>
        <v>4.4207910054201993E-3</v>
      </c>
      <c r="L104" s="3" cm="1">
        <f t="array" aca="1" ref="L104" ca="1">thm_D_eff(C104,qi,Di,bi,bf,telf,bterm,tterm)</f>
        <v>0.54652685093729825</v>
      </c>
      <c r="M104" cm="1">
        <f t="array" aca="1" ref="M104" ca="1">thm_b(C104,qi,Di,bi,bf,telf,bterm,tterm)</f>
        <v>1.6321205588285583</v>
      </c>
      <c r="N104" cm="1">
        <f t="array" aca="1" ref="N104" ca="1">thm_monthly_vol(C104,qi,Di,bi,bf,telf,bterm,tterm)</f>
        <v>22.838143758548824</v>
      </c>
      <c r="O104" cm="1">
        <f t="array" aca="1" ref="O104" ca="1">thm_cum($C104,qi,Di,bi,bf,telf,bterm,tterm)</f>
        <v>65.18320385857308</v>
      </c>
      <c r="Q104" cm="1">
        <f t="array" aca="1" ref="Q104" ca="1">thm_rate(C104,$F$3,$F$4,$F$5,$F$6,$F$7,$F$8,$F$9)</f>
        <v>696.51118791987392</v>
      </c>
      <c r="V104" s="2"/>
      <c r="W104" s="2"/>
      <c r="X104" s="2"/>
      <c r="Y104" s="2"/>
      <c r="Z104" s="2"/>
      <c r="AA104" s="2"/>
    </row>
    <row r="105" spans="2:27" x14ac:dyDescent="0.25">
      <c r="B105" cm="1">
        <f t="array" ref="B105">B104+log_interval</f>
        <v>4.3749116766886917</v>
      </c>
      <c r="C105">
        <f t="shared" si="5"/>
        <v>79.432823472428538</v>
      </c>
      <c r="D105">
        <f ca="1"/>
        <v>683.61067820374194</v>
      </c>
      <c r="E105">
        <f ca="1"/>
        <v>4.2834618400962171E-3</v>
      </c>
      <c r="F105">
        <f ca="1"/>
        <v>1.6321205588285583</v>
      </c>
      <c r="G105">
        <f ca="1"/>
        <v>68.250161163041469</v>
      </c>
      <c r="H105">
        <f t="shared" ca="1" si="6"/>
        <v>59.350529935066014</v>
      </c>
      <c r="J105" s="5" cm="1">
        <f t="array" aca="1" ref="J105" ca="1">thm_rate($C105,qi,Di,bi,bf,telf,bterm,tterm)</f>
        <v>683.61067820374194</v>
      </c>
      <c r="K105" s="5" cm="1">
        <f t="array" aca="1" ref="K105" ca="1">thm_D($C105,qi,Di,bi,bf,telf,bterm,tterm)</f>
        <v>4.2834618400962171E-3</v>
      </c>
      <c r="L105" s="3" cm="1">
        <f t="array" aca="1" ref="L105" ca="1">thm_D_eff(C105,qi,Di,bi,bf,telf,bterm,tterm)</f>
        <v>0.54015411730653007</v>
      </c>
      <c r="M105" cm="1">
        <f t="array" aca="1" ref="M105" ca="1">thm_b(C105,qi,Di,bi,bf,telf,bterm,tterm)</f>
        <v>1.6321205588285583</v>
      </c>
      <c r="N105" cm="1">
        <f t="array" aca="1" ref="N105" ca="1">thm_monthly_vol(C105,qi,Di,bi,bf,telf,bterm,tterm)</f>
        <v>22.344508803918288</v>
      </c>
      <c r="O105" cm="1">
        <f t="array" aca="1" ref="O105" ca="1">thm_cum($C105,qi,Di,bi,bf,telf,bterm,tterm)</f>
        <v>68.250161163041469</v>
      </c>
      <c r="Q105" cm="1">
        <f t="array" aca="1" ref="Q105" ca="1">thm_rate(C105,$F$3,$F$4,$F$5,$F$6,$F$7,$F$8,$F$9)</f>
        <v>683.46936212859555</v>
      </c>
      <c r="V105" s="2"/>
      <c r="W105" s="2"/>
      <c r="X105" s="2"/>
      <c r="Y105" s="2"/>
      <c r="Z105" s="2"/>
      <c r="AA105" s="2"/>
    </row>
    <row r="106" spans="2:27" x14ac:dyDescent="0.25">
      <c r="B106" cm="1">
        <f t="array" ref="B106">B105+log_interval</f>
        <v>4.4324763040135426</v>
      </c>
      <c r="C106">
        <f t="shared" si="5"/>
        <v>84.139514164519909</v>
      </c>
      <c r="D106">
        <f ca="1"/>
        <v>670.18395786603924</v>
      </c>
      <c r="E106">
        <f ca="1"/>
        <v>4.14700437783002E-3</v>
      </c>
      <c r="F106">
        <f ca="1"/>
        <v>1.6321205588285583</v>
      </c>
      <c r="G106">
        <f ca="1"/>
        <v>71.435832514675383</v>
      </c>
      <c r="H106">
        <f t="shared" ca="1" si="6"/>
        <v>62.120798601051462</v>
      </c>
      <c r="J106" s="5" cm="1">
        <f t="array" aca="1" ref="J106" ca="1">thm_rate($C106,qi,Di,bi,bf,telf,bterm,tterm)</f>
        <v>670.18395786603924</v>
      </c>
      <c r="K106" s="5" cm="1">
        <f t="array" aca="1" ref="K106" ca="1">thm_D($C106,qi,Di,bi,bf,telf,bterm,tterm)</f>
        <v>4.14700437783002E-3</v>
      </c>
      <c r="L106" s="3" cm="1">
        <f t="array" aca="1" ref="L106" ca="1">thm_D_eff(C106,qi,Di,bi,bf,telf,bterm,tterm)</f>
        <v>0.53358289528983727</v>
      </c>
      <c r="M106" cm="1">
        <f t="array" aca="1" ref="M106" ca="1">thm_b(C106,qi,Di,bi,bf,telf,bterm,tterm)</f>
        <v>1.6321205588285583</v>
      </c>
      <c r="N106" cm="1">
        <f t="array" aca="1" ref="N106" ca="1">thm_monthly_vol(C106,qi,Di,bi,bf,telf,bterm,tterm)</f>
        <v>21.851291986573315</v>
      </c>
      <c r="O106" cm="1">
        <f t="array" aca="1" ref="O106" ca="1">thm_cum($C106,qi,Di,bi,bf,telf,bterm,tterm)</f>
        <v>71.435832514675383</v>
      </c>
      <c r="Q106" cm="1">
        <f t="array" aca="1" ref="Q106" ca="1">thm_rate(C106,$F$3,$F$4,$F$5,$F$6,$F$7,$F$8,$F$9)</f>
        <v>670.17707044880876</v>
      </c>
      <c r="V106" s="2"/>
      <c r="W106" s="2"/>
      <c r="X106" s="2"/>
      <c r="Y106" s="2"/>
      <c r="Z106" s="2"/>
      <c r="AA106" s="2"/>
    </row>
    <row r="107" spans="2:27" x14ac:dyDescent="0.25">
      <c r="B107" cm="1">
        <f t="array" ref="B107">B106+log_interval</f>
        <v>4.4900409313383935</v>
      </c>
      <c r="C107">
        <f t="shared" si="5"/>
        <v>89.125093813374946</v>
      </c>
      <c r="D107">
        <f ca="1"/>
        <v>656.64966404153211</v>
      </c>
      <c r="E107">
        <f ca="1"/>
        <v>4.0486414233256727E-3</v>
      </c>
      <c r="F107">
        <f ca="1"/>
        <v>1</v>
      </c>
      <c r="G107">
        <f ca="1"/>
        <v>74.743106653260256</v>
      </c>
      <c r="H107">
        <f t="shared" ca="1" si="6"/>
        <v>64.99681338871828</v>
      </c>
      <c r="J107" s="5" cm="1">
        <f t="array" aca="1" ref="J107" ca="1">thm_rate($C107,qi,Di,bi,bf,telf,bterm,tterm)</f>
        <v>656.64966404153211</v>
      </c>
      <c r="K107" s="5" cm="1">
        <f t="array" aca="1" ref="K107" ca="1">thm_D($C107,qi,Di,bi,bf,telf,bterm,tterm)</f>
        <v>4.0486414233256727E-3</v>
      </c>
      <c r="L107" s="3" cm="1">
        <f t="array" aca="1" ref="L107" ca="1">thm_D_eff(C107,qi,Di,bi,bf,telf,bterm,tterm)</f>
        <v>0.59657350185812374</v>
      </c>
      <c r="M107" cm="1">
        <f t="array" aca="1" ref="M107" ca="1">thm_b(C107,qi,Di,bi,bf,telf,bterm,tterm)</f>
        <v>1</v>
      </c>
      <c r="N107" cm="1">
        <f t="array" aca="1" ref="N107" ca="1">thm_monthly_vol(C107,qi,Di,bi,bf,telf,bterm,tterm)</f>
        <v>21.359035697608483</v>
      </c>
      <c r="O107" cm="1">
        <f t="array" aca="1" ref="O107" ca="1">thm_cum($C107,qi,Di,bi,bf,telf,bterm,tterm)</f>
        <v>74.743106653260256</v>
      </c>
      <c r="Q107" cm="1">
        <f t="array" aca="1" ref="Q107" ca="1">thm_rate(C107,$F$3,$F$4,$F$5,$F$6,$F$7,$F$8,$F$9)</f>
        <v>656.64966404153188</v>
      </c>
      <c r="V107" s="2"/>
      <c r="W107" s="2"/>
      <c r="X107" s="2"/>
      <c r="Y107" s="2"/>
      <c r="Z107" s="2"/>
      <c r="AA107" s="2"/>
    </row>
    <row r="108" spans="2:27" x14ac:dyDescent="0.25">
      <c r="B108" cm="1">
        <f t="array" ref="B108">B107+log_interval</f>
        <v>4.5476055586632445</v>
      </c>
      <c r="C108">
        <f t="shared" si="5"/>
        <v>94.406087628592743</v>
      </c>
      <c r="D108">
        <f ca="1"/>
        <v>642.90383341138363</v>
      </c>
      <c r="E108">
        <f ca="1"/>
        <v>3.9638900827939309E-3</v>
      </c>
      <c r="F108">
        <f ca="1"/>
        <v>1</v>
      </c>
      <c r="G108">
        <f ca="1"/>
        <v>78.174317696441221</v>
      </c>
      <c r="H108">
        <f t="shared" ca="1" si="6"/>
        <v>67.980604053261331</v>
      </c>
      <c r="J108" s="5" cm="1">
        <f t="array" aca="1" ref="J108" ca="1">thm_rate($C108,qi,Di,bi,bf,telf,bterm,tterm)</f>
        <v>642.90383341138363</v>
      </c>
      <c r="K108" s="5" cm="1">
        <f t="array" aca="1" ref="K108" ca="1">thm_D($C108,qi,Di,bi,bf,telf,bterm,tterm)</f>
        <v>3.9638900827939309E-3</v>
      </c>
      <c r="L108" s="3" cm="1">
        <f t="array" aca="1" ref="L108" ca="1">thm_D_eff(C108,qi,Di,bi,bf,telf,bterm,tterm)</f>
        <v>0.59147170261115756</v>
      </c>
      <c r="M108" cm="1">
        <f t="array" aca="1" ref="M108" ca="1">thm_b(C108,qi,Di,bi,bf,telf,bterm,tterm)</f>
        <v>1</v>
      </c>
      <c r="N108" cm="1">
        <f t="array" aca="1" ref="N108" ca="1">thm_monthly_vol(C108,qi,Di,bi,bf,telf,bterm,tterm)</f>
        <v>20.867712586593868</v>
      </c>
      <c r="O108" cm="1">
        <f t="array" aca="1" ref="O108" ca="1">thm_cum($C108,qi,Di,bi,bf,telf,bterm,tterm)</f>
        <v>78.174317696441221</v>
      </c>
      <c r="Q108" cm="1">
        <f t="array" aca="1" ref="Q108" ca="1">thm_rate(C108,$F$3,$F$4,$F$5,$F$6,$F$7,$F$8,$F$9)</f>
        <v>642.90383341138352</v>
      </c>
      <c r="V108" s="2"/>
      <c r="W108" s="2"/>
      <c r="X108" s="2"/>
      <c r="Y108" s="2"/>
      <c r="Z108" s="2"/>
      <c r="AA108" s="2"/>
    </row>
    <row r="109" spans="2:27" x14ac:dyDescent="0.25">
      <c r="B109" cm="1">
        <f t="array" ref="B109">B108+log_interval</f>
        <v>4.6051701859880954</v>
      </c>
      <c r="C109">
        <f t="shared" si="5"/>
        <v>100.0000000000004</v>
      </c>
      <c r="D109">
        <f ca="1"/>
        <v>628.95754653654114</v>
      </c>
      <c r="E109">
        <f ca="1"/>
        <v>3.8779028085516041E-3</v>
      </c>
      <c r="F109">
        <f ca="1"/>
        <v>1</v>
      </c>
      <c r="G109">
        <f ca="1"/>
        <v>81.731373094613275</v>
      </c>
      <c r="H109">
        <f t="shared" ca="1" si="6"/>
        <v>71.07382931884824</v>
      </c>
      <c r="J109" s="5" cm="1">
        <f t="array" aca="1" ref="J109" ca="1">thm_rate($C109,qi,Di,bi,bf,telf,bterm,tterm)</f>
        <v>628.95754653654114</v>
      </c>
      <c r="K109" s="5" cm="1">
        <f t="array" aca="1" ref="K109" ca="1">thm_D($C109,qi,Di,bi,bf,telf,bterm,tterm)</f>
        <v>3.8779028085516041E-3</v>
      </c>
      <c r="L109" s="3" cm="1">
        <f t="array" aca="1" ref="L109" ca="1">thm_D_eff(C109,qi,Di,bi,bf,telf,bterm,tterm)</f>
        <v>0.5861619167741754</v>
      </c>
      <c r="M109" cm="1">
        <f t="array" aca="1" ref="M109" ca="1">thm_b(C109,qi,Di,bi,bf,telf,bterm,tterm)</f>
        <v>1</v>
      </c>
      <c r="N109" cm="1">
        <f t="array" aca="1" ref="N109" ca="1">thm_monthly_vol(C109,qi,Di,bi,bf,telf,bterm,tterm)</f>
        <v>20.376851030043227</v>
      </c>
      <c r="O109" cm="1">
        <f t="array" aca="1" ref="O109" ca="1">thm_cum($C109,qi,Di,bi,bf,telf,bterm,tterm)</f>
        <v>81.731373094613275</v>
      </c>
      <c r="Q109" cm="1">
        <f t="array" aca="1" ref="Q109" ca="1">thm_rate(C109,$F$3,$F$4,$F$5,$F$6,$F$7,$F$8,$F$9)</f>
        <v>628.95754653654092</v>
      </c>
      <c r="V109" s="2"/>
      <c r="W109" s="2"/>
      <c r="X109" s="2"/>
      <c r="Y109" s="2"/>
      <c r="Z109" s="2"/>
      <c r="AA109" s="2"/>
    </row>
    <row r="110" spans="2:27" x14ac:dyDescent="0.25">
      <c r="B110" cm="1">
        <f t="array" ref="B110">B109+log_interval</f>
        <v>4.6627348133129463</v>
      </c>
      <c r="C110">
        <f t="shared" si="5"/>
        <v>105.92537251772929</v>
      </c>
      <c r="D110">
        <f ca="1"/>
        <v>614.82997192693585</v>
      </c>
      <c r="E110">
        <f ca="1"/>
        <v>3.7907977860293447E-3</v>
      </c>
      <c r="F110">
        <f ca="1"/>
        <v>1</v>
      </c>
      <c r="G110">
        <f ca="1"/>
        <v>85.416008331680857</v>
      </c>
      <c r="H110">
        <f t="shared" ca="1" si="6"/>
        <v>74.277998367108296</v>
      </c>
      <c r="J110" s="5" cm="1">
        <f t="array" aca="1" ref="J110" ca="1">thm_rate($C110,qi,Di,bi,bf,telf,bterm,tterm)</f>
        <v>614.82997192693585</v>
      </c>
      <c r="K110" s="5" cm="1">
        <f t="array" aca="1" ref="K110" ca="1">thm_D($C110,qi,Di,bi,bf,telf,bterm,tterm)</f>
        <v>3.7907977860293447E-3</v>
      </c>
      <c r="L110" s="3" cm="1">
        <f t="array" aca="1" ref="L110" ca="1">thm_D_eff(C110,qi,Di,bi,bf,telf,bterm,tterm)</f>
        <v>0.5806405021726696</v>
      </c>
      <c r="M110" cm="1">
        <f t="array" aca="1" ref="M110" ca="1">thm_b(C110,qi,Di,bi,bf,telf,bterm,tterm)</f>
        <v>1</v>
      </c>
      <c r="N110" cm="1">
        <f t="array" aca="1" ref="N110" ca="1">thm_monthly_vol(C110,qi,Di,bi,bf,telf,bterm,tterm)</f>
        <v>19.885787205878231</v>
      </c>
      <c r="O110" cm="1">
        <f t="array" aca="1" ref="O110" ca="1">thm_cum($C110,qi,Di,bi,bf,telf,bterm,tterm)</f>
        <v>85.416008331680857</v>
      </c>
      <c r="Q110" cm="1">
        <f t="array" aca="1" ref="Q110" ca="1">thm_rate(C110,$F$3,$F$4,$F$5,$F$6,$F$7,$F$8,$F$9)</f>
        <v>614.82997192693563</v>
      </c>
      <c r="V110" s="2"/>
      <c r="W110" s="2"/>
      <c r="X110" s="2"/>
      <c r="Y110" s="2"/>
      <c r="Z110" s="2"/>
      <c r="AA110" s="2"/>
    </row>
    <row r="111" spans="2:27" x14ac:dyDescent="0.25">
      <c r="B111" cm="1">
        <f t="array" ref="B111">B110+log_interval</f>
        <v>4.7202994406377972</v>
      </c>
      <c r="C111">
        <f t="shared" si="5"/>
        <v>112.20184543019674</v>
      </c>
      <c r="D111">
        <f ca="1"/>
        <v>600.5413870200033</v>
      </c>
      <c r="E111">
        <f ca="1"/>
        <v>3.7027000378650294E-3</v>
      </c>
      <c r="F111">
        <f ca="1"/>
        <v>1</v>
      </c>
      <c r="G111">
        <f ca="1"/>
        <v>89.229779578233064</v>
      </c>
      <c r="H111">
        <f t="shared" ca="1" si="6"/>
        <v>77.594464448313147</v>
      </c>
      <c r="J111" s="5" cm="1">
        <f t="array" aca="1" ref="J111" ca="1">thm_rate($C111,qi,Di,bi,bf,telf,bterm,tterm)</f>
        <v>600.5413870200033</v>
      </c>
      <c r="K111" s="5" cm="1">
        <f t="array" aca="1" ref="K111" ca="1">thm_D($C111,qi,Di,bi,bf,telf,bterm,tterm)</f>
        <v>3.7027000378650294E-3</v>
      </c>
      <c r="L111" s="3" cm="1">
        <f t="array" aca="1" ref="L111" ca="1">thm_D_eff(C111,qi,Di,bi,bf,telf,bterm,tterm)</f>
        <v>0.57490424941513907</v>
      </c>
      <c r="M111" cm="1">
        <f t="array" aca="1" ref="M111" ca="1">thm_b(C111,qi,Di,bi,bf,telf,bterm,tterm)</f>
        <v>1</v>
      </c>
      <c r="N111" cm="1">
        <f t="array" aca="1" ref="N111" ca="1">thm_monthly_vol(C111,qi,Di,bi,bf,telf,bterm,tterm)</f>
        <v>19.393654998689598</v>
      </c>
      <c r="O111" cm="1">
        <f t="array" aca="1" ref="O111" ca="1">thm_cum($C111,qi,Di,bi,bf,telf,bterm,tterm)</f>
        <v>89.229779578233064</v>
      </c>
      <c r="Q111" cm="1">
        <f t="array" aca="1" ref="Q111" ca="1">thm_rate(C111,$F$3,$F$4,$F$5,$F$6,$F$7,$F$8,$F$9)</f>
        <v>600.54138702000319</v>
      </c>
      <c r="V111" s="2"/>
      <c r="W111" s="2"/>
      <c r="X111" s="2"/>
      <c r="Y111" s="2"/>
      <c r="Z111" s="2"/>
      <c r="AA111" s="2"/>
    </row>
    <row r="112" spans="2:27" x14ac:dyDescent="0.25">
      <c r="B112" cm="1">
        <f t="array" ref="B112">B111+log_interval</f>
        <v>4.7778640679626481</v>
      </c>
      <c r="C112">
        <f t="shared" si="5"/>
        <v>118.85022274370223</v>
      </c>
      <c r="D112">
        <f ca="1"/>
        <v>586.11307261616366</v>
      </c>
      <c r="E112">
        <f ca="1"/>
        <v>3.6137407730348005E-3</v>
      </c>
      <c r="F112">
        <f ca="1"/>
        <v>1</v>
      </c>
      <c r="G112">
        <f ca="1"/>
        <v>93.174054083265389</v>
      </c>
      <c r="H112">
        <f t="shared" ca="1" si="6"/>
        <v>81.024416525991228</v>
      </c>
      <c r="J112" s="5" cm="1">
        <f t="array" aca="1" ref="J112" ca="1">thm_rate($C112,qi,Di,bi,bf,telf,bterm,tterm)</f>
        <v>586.11307261616366</v>
      </c>
      <c r="K112" s="5" cm="1">
        <f t="array" aca="1" ref="K112" ca="1">thm_D($C112,qi,Di,bi,bf,telf,bterm,tterm)</f>
        <v>3.6137407730348005E-3</v>
      </c>
      <c r="L112" s="3" cm="1">
        <f t="array" aca="1" ref="L112" ca="1">thm_D_eff(C112,qi,Di,bi,bf,telf,bterm,tterm)</f>
        <v>0.56895043373032039</v>
      </c>
      <c r="M112" cm="1">
        <f t="array" aca="1" ref="M112" ca="1">thm_b(C112,qi,Di,bi,bf,telf,bterm,tterm)</f>
        <v>1</v>
      </c>
      <c r="N112" cm="1">
        <f t="array" aca="1" ref="N112" ca="1">thm_monthly_vol(C112,qi,Di,bi,bf,telf,bterm,tterm)</f>
        <v>18.899401521198854</v>
      </c>
      <c r="O112" cm="1">
        <f t="array" aca="1" ref="O112" ca="1">thm_cum($C112,qi,Di,bi,bf,telf,bterm,tterm)</f>
        <v>93.174054083265389</v>
      </c>
      <c r="Q112" cm="1">
        <f t="array" aca="1" ref="Q112" ca="1">thm_rate(C112,$F$3,$F$4,$F$5,$F$6,$F$7,$F$8,$F$9)</f>
        <v>586.11307261616355</v>
      </c>
      <c r="V112" s="2"/>
      <c r="W112" s="2"/>
      <c r="X112" s="2"/>
      <c r="Y112" s="2"/>
      <c r="Z112" s="2"/>
      <c r="AA112" s="2"/>
    </row>
    <row r="113" spans="2:27" x14ac:dyDescent="0.25">
      <c r="B113" cm="1">
        <f t="array" ref="B113">B112+log_interval</f>
        <v>4.835428695287499</v>
      </c>
      <c r="C113">
        <f t="shared" si="5"/>
        <v>125.89254117941711</v>
      </c>
      <c r="D113">
        <f ca="1"/>
        <v>571.56719434704564</v>
      </c>
      <c r="E113">
        <f ca="1"/>
        <v>3.5240566560331365E-3</v>
      </c>
      <c r="F113">
        <f ca="1"/>
        <v>1</v>
      </c>
      <c r="G113">
        <f ca="1"/>
        <v>97.250001585033687</v>
      </c>
      <c r="H113">
        <f t="shared" ca="1" si="6"/>
        <v>84.568871807782642</v>
      </c>
      <c r="J113" s="5" cm="1">
        <f t="array" aca="1" ref="J113" ca="1">thm_rate($C113,qi,Di,bi,bf,telf,bterm,tterm)</f>
        <v>571.56719434704564</v>
      </c>
      <c r="K113" s="5" cm="1">
        <f t="array" aca="1" ref="K113" ca="1">thm_D($C113,qi,Di,bi,bf,telf,bterm,tterm)</f>
        <v>3.5240566560331365E-3</v>
      </c>
      <c r="L113" s="3" cm="1">
        <f t="array" aca="1" ref="L113" ca="1">thm_D_eff(C113,qi,Di,bi,bf,telf,bterm,tterm)</f>
        <v>0.5627768675948065</v>
      </c>
      <c r="M113" cm="1">
        <f t="array" aca="1" ref="M113" ca="1">thm_b(C113,qi,Di,bi,bf,telf,bterm,tterm)</f>
        <v>1</v>
      </c>
      <c r="N113" cm="1">
        <f t="array" aca="1" ref="N113" ca="1">thm_monthly_vol(C113,qi,Di,bi,bf,telf,bterm,tterm)</f>
        <v>18.402705762329248</v>
      </c>
      <c r="O113" cm="1">
        <f t="array" aca="1" ref="O113" ca="1">thm_cum($C113,qi,Di,bi,bf,telf,bterm,tterm)</f>
        <v>97.250001585033687</v>
      </c>
      <c r="Q113" cm="1">
        <f t="array" aca="1" ref="Q113" ca="1">thm_rate(C113,$F$3,$F$4,$F$5,$F$6,$F$7,$F$8,$F$9)</f>
        <v>571.56719434704553</v>
      </c>
      <c r="V113" s="2"/>
      <c r="W113" s="2"/>
      <c r="X113" s="2"/>
      <c r="Y113" s="2"/>
      <c r="Z113" s="2"/>
      <c r="AA113" s="2"/>
    </row>
    <row r="114" spans="2:27" x14ac:dyDescent="0.25">
      <c r="B114" cm="1">
        <f t="array" ref="B114">B113+log_interval</f>
        <v>4.8929933226123499</v>
      </c>
      <c r="C114">
        <f t="shared" si="5"/>
        <v>133.35214321633276</v>
      </c>
      <c r="D114">
        <f ca="1"/>
        <v>556.92667244939116</v>
      </c>
      <c r="E114">
        <f ca="1"/>
        <v>3.4337890039503943E-3</v>
      </c>
      <c r="F114">
        <f ca="1"/>
        <v>1</v>
      </c>
      <c r="G114">
        <f ca="1"/>
        <v>101.45858685330482</v>
      </c>
      <c r="H114">
        <f t="shared" ca="1" si="6"/>
        <v>88.228669260159421</v>
      </c>
      <c r="J114" s="5" cm="1">
        <f t="array" aca="1" ref="J114" ca="1">thm_rate($C114,qi,Di,bi,bf,telf,bterm,tterm)</f>
        <v>556.92667244939116</v>
      </c>
      <c r="K114" s="5" cm="1">
        <f t="array" aca="1" ref="K114" ca="1">thm_D($C114,qi,Di,bi,bf,telf,bterm,tterm)</f>
        <v>3.4337890039503943E-3</v>
      </c>
      <c r="L114" s="3" cm="1">
        <f t="array" aca="1" ref="L114" ca="1">thm_D_eff(C114,qi,Di,bi,bf,telf,bterm,tterm)</f>
        <v>0.55638195361173426</v>
      </c>
      <c r="M114" cm="1">
        <f t="array" aca="1" ref="M114" ca="1">thm_b(C114,qi,Di,bi,bf,telf,bterm,tterm)</f>
        <v>1</v>
      </c>
      <c r="N114" cm="1">
        <f t="array" aca="1" ref="N114" ca="1">thm_monthly_vol(C114,qi,Di,bi,bf,telf,bterm,tterm)</f>
        <v>17.904309487601282</v>
      </c>
      <c r="O114" cm="1">
        <f t="array" aca="1" ref="O114" ca="1">thm_cum($C114,qi,Di,bi,bf,telf,bterm,tterm)</f>
        <v>101.45858685330482</v>
      </c>
      <c r="Q114" cm="1">
        <f t="array" aca="1" ref="Q114" ca="1">thm_rate(C114,$F$3,$F$4,$F$5,$F$6,$F$7,$F$8,$F$9)</f>
        <v>556.92667244939105</v>
      </c>
      <c r="V114" s="2"/>
      <c r="W114" s="2"/>
      <c r="X114" s="2"/>
      <c r="Y114" s="2"/>
      <c r="Z114" s="2"/>
      <c r="AA114" s="2"/>
    </row>
    <row r="115" spans="2:27" x14ac:dyDescent="0.25">
      <c r="B115" cm="1">
        <f t="array" ref="B115">B114+log_interval</f>
        <v>4.9505579499372008</v>
      </c>
      <c r="C115">
        <f t="shared" si="5"/>
        <v>141.25375446227579</v>
      </c>
      <c r="D115">
        <f ca="1"/>
        <v>542.21504137764748</v>
      </c>
      <c r="E115">
        <f ca="1"/>
        <v>3.3430829208997231E-3</v>
      </c>
      <c r="F115">
        <f ca="1"/>
        <v>1</v>
      </c>
      <c r="G115">
        <f ca="1"/>
        <v>105.80056346250265</v>
      </c>
      <c r="H115">
        <f t="shared" ca="1" si="6"/>
        <v>92.00446419353608</v>
      </c>
      <c r="J115" s="5" cm="1">
        <f t="array" aca="1" ref="J115" ca="1">thm_rate($C115,qi,Di,bi,bf,telf,bterm,tterm)</f>
        <v>542.21504137764748</v>
      </c>
      <c r="K115" s="5" cm="1">
        <f t="array" aca="1" ref="K115" ca="1">thm_D($C115,qi,Di,bi,bf,telf,bterm,tterm)</f>
        <v>3.3430829208997231E-3</v>
      </c>
      <c r="L115" s="3" cm="1">
        <f t="array" aca="1" ref="L115" ca="1">thm_D_eff(C115,qi,Di,bi,bf,telf,bterm,tterm)</f>
        <v>0.54976473703110917</v>
      </c>
      <c r="M115" cm="1">
        <f t="array" aca="1" ref="M115" ca="1">thm_b(C115,qi,Di,bi,bf,telf,bterm,tterm)</f>
        <v>1</v>
      </c>
      <c r="N115" cm="1">
        <f t="array" aca="1" ref="N115" ca="1">thm_monthly_vol(C115,qi,Di,bi,bf,telf,bterm,tterm)</f>
        <v>17.405030461453322</v>
      </c>
      <c r="O115" cm="1">
        <f t="array" aca="1" ref="O115" ca="1">thm_cum($C115,qi,Di,bi,bf,telf,bterm,tterm)</f>
        <v>105.80056346250265</v>
      </c>
      <c r="Q115" cm="1">
        <f t="array" aca="1" ref="Q115" ca="1">thm_rate(C115,$F$3,$F$4,$F$5,$F$6,$F$7,$F$8,$F$9)</f>
        <v>542.21504137764725</v>
      </c>
      <c r="V115" s="2"/>
      <c r="W115" s="2"/>
      <c r="X115" s="2"/>
      <c r="Y115" s="2"/>
      <c r="Z115" s="2"/>
      <c r="AA115" s="2"/>
    </row>
    <row r="116" spans="2:27" x14ac:dyDescent="0.25">
      <c r="B116" cm="1">
        <f t="array" ref="B116">B115+log_interval</f>
        <v>5.0081225772620517</v>
      </c>
      <c r="C116">
        <f t="shared" si="5"/>
        <v>149.62356560944369</v>
      </c>
      <c r="D116">
        <f ca="1"/>
        <v>527.45630101981783</v>
      </c>
      <c r="E116">
        <f ca="1"/>
        <v>3.2520863806730031E-3</v>
      </c>
      <c r="F116">
        <f ca="1"/>
        <v>1</v>
      </c>
      <c r="G116">
        <f ca="1"/>
        <v>110.27646888023654</v>
      </c>
      <c r="H116">
        <f t="shared" ca="1" si="6"/>
        <v>95.896723991240279</v>
      </c>
      <c r="J116" s="5" cm="1">
        <f t="array" aca="1" ref="J116" ca="1">thm_rate($C116,qi,Di,bi,bf,telf,bterm,tterm)</f>
        <v>527.45630101981783</v>
      </c>
      <c r="K116" s="5" cm="1">
        <f t="array" aca="1" ref="K116" ca="1">thm_D($C116,qi,Di,bi,bf,telf,bterm,tterm)</f>
        <v>3.2520863806730031E-3</v>
      </c>
      <c r="L116" s="3" cm="1">
        <f t="array" aca="1" ref="L116" ca="1">thm_D_eff(C116,qi,Di,bi,bf,telf,bterm,tterm)</f>
        <v>0.54292495723534717</v>
      </c>
      <c r="M116" cm="1">
        <f t="array" aca="1" ref="M116" ca="1">thm_b(C116,qi,Di,bi,bf,telf,bterm,tterm)</f>
        <v>1</v>
      </c>
      <c r="N116" cm="1">
        <f t="array" aca="1" ref="N116" ca="1">thm_monthly_vol(C116,qi,Di,bi,bf,telf,bterm,tterm)</f>
        <v>16.905692254946885</v>
      </c>
      <c r="O116" cm="1">
        <f t="array" aca="1" ref="O116" ca="1">thm_cum($C116,qi,Di,bi,bf,telf,bterm,tterm)</f>
        <v>110.27646888023654</v>
      </c>
      <c r="Q116" cm="1">
        <f t="array" aca="1" ref="Q116" ca="1">thm_rate(C116,$F$3,$F$4,$F$5,$F$6,$F$7,$F$8,$F$9)</f>
        <v>527.45630101981772</v>
      </c>
      <c r="V116" s="2"/>
      <c r="W116" s="2"/>
      <c r="X116" s="2"/>
      <c r="Y116" s="2"/>
      <c r="Z116" s="2"/>
      <c r="AA116" s="2"/>
    </row>
    <row r="117" spans="2:27" x14ac:dyDescent="0.25">
      <c r="B117" cm="1">
        <f t="array" ref="B117">B116+log_interval</f>
        <v>5.0656872045869026</v>
      </c>
      <c r="C117">
        <f t="shared" si="5"/>
        <v>158.48931924611168</v>
      </c>
      <c r="D117">
        <f ca="1"/>
        <v>512.67476147625871</v>
      </c>
      <c r="E117">
        <f ca="1"/>
        <v>3.1609492697084649E-3</v>
      </c>
      <c r="F117">
        <f ca="1"/>
        <v>1</v>
      </c>
      <c r="G117">
        <f ca="1"/>
        <v>114.88662093874888</v>
      </c>
      <c r="H117">
        <f t="shared" ca="1" si="6"/>
        <v>99.905725041073836</v>
      </c>
      <c r="J117" s="5" cm="1">
        <f t="array" aca="1" ref="J117" ca="1">thm_rate($C117,qi,Di,bi,bf,telf,bterm,tterm)</f>
        <v>512.67476147625871</v>
      </c>
      <c r="K117" s="5" cm="1">
        <f t="array" aca="1" ref="K117" ca="1">thm_D($C117,qi,Di,bi,bf,telf,bterm,tterm)</f>
        <v>3.1609492697084649E-3</v>
      </c>
      <c r="L117" s="3" cm="1">
        <f t="array" aca="1" ref="L117" ca="1">thm_D_eff(C117,qi,Di,bi,bf,telf,bterm,tterm)</f>
        <v>0.5358630974519738</v>
      </c>
      <c r="M117" cm="1">
        <f t="array" aca="1" ref="M117" ca="1">thm_b(C117,qi,Di,bi,bf,telf,bterm,tterm)</f>
        <v>1</v>
      </c>
      <c r="N117" cm="1">
        <f t="array" aca="1" ref="N117" ca="1">thm_monthly_vol(C117,qi,Di,bi,bf,telf,bterm,tterm)</f>
        <v>16.40711882897223</v>
      </c>
      <c r="O117" cm="1">
        <f t="array" aca="1" ref="O117" ca="1">thm_cum($C117,qi,Di,bi,bf,telf,bterm,tterm)</f>
        <v>114.88662093874888</v>
      </c>
      <c r="Q117" cm="1">
        <f t="array" aca="1" ref="Q117" ca="1">thm_rate(C117,$F$3,$F$4,$F$5,$F$6,$F$7,$F$8,$F$9)</f>
        <v>512.67476147625848</v>
      </c>
      <c r="V117" s="2"/>
      <c r="W117" s="2"/>
      <c r="X117" s="2"/>
      <c r="Y117" s="2"/>
      <c r="Z117" s="2"/>
      <c r="AA117" s="2"/>
    </row>
    <row r="118" spans="2:27" x14ac:dyDescent="0.25">
      <c r="B118" cm="1">
        <f t="array" ref="B118">B117+log_interval</f>
        <v>5.1232518319117535</v>
      </c>
      <c r="C118">
        <f t="shared" si="5"/>
        <v>167.88040181225634</v>
      </c>
      <c r="D118">
        <f ca="1"/>
        <v>497.89488351292749</v>
      </c>
      <c r="E118">
        <f ca="1"/>
        <v>3.0698224033886851E-3</v>
      </c>
      <c r="F118">
        <f ca="1"/>
        <v>1</v>
      </c>
      <c r="G118">
        <f ca="1"/>
        <v>119.63111573828272</v>
      </c>
      <c r="H118">
        <f t="shared" ca="1" si="6"/>
        <v>104.03155091207533</v>
      </c>
      <c r="J118" s="5" cm="1">
        <f t="array" aca="1" ref="J118" ca="1">thm_rate($C118,qi,Di,bi,bf,telf,bterm,tterm)</f>
        <v>497.89488351292749</v>
      </c>
      <c r="K118" s="5" cm="1">
        <f t="array" aca="1" ref="K118" ca="1">thm_D($C118,qi,Di,bi,bf,telf,bterm,tterm)</f>
        <v>3.0698224033886851E-3</v>
      </c>
      <c r="L118" s="3" cm="1">
        <f t="array" aca="1" ref="L118" ca="1">thm_D_eff(C118,qi,Di,bi,bf,telf,bterm,tterm)</f>
        <v>0.52858043190157655</v>
      </c>
      <c r="M118" cm="1">
        <f t="array" aca="1" ref="M118" ca="1">thm_b(C118,qi,Di,bi,bf,telf,bterm,tterm)</f>
        <v>1</v>
      </c>
      <c r="N118" cm="1">
        <f t="array" aca="1" ref="N118" ca="1">thm_monthly_vol(C118,qi,Di,bi,bf,telf,bterm,tterm)</f>
        <v>15.910129112016165</v>
      </c>
      <c r="O118" cm="1">
        <f t="array" aca="1" ref="O118" ca="1">thm_cum($C118,qi,Di,bi,bf,telf,bterm,tterm)</f>
        <v>119.63111573828272</v>
      </c>
      <c r="Q118" cm="1">
        <f t="array" aca="1" ref="Q118" ca="1">thm_rate(C118,$F$3,$F$4,$F$5,$F$6,$F$7,$F$8,$F$9)</f>
        <v>497.89488351292738</v>
      </c>
      <c r="V118" s="2"/>
      <c r="W118" s="2"/>
      <c r="X118" s="2"/>
      <c r="Y118" s="2"/>
      <c r="Z118" s="2"/>
      <c r="AA118" s="2"/>
    </row>
    <row r="119" spans="2:27" x14ac:dyDescent="0.25">
      <c r="B119" cm="1">
        <f t="array" ref="B119">B118+log_interval</f>
        <v>5.1808164592366044</v>
      </c>
      <c r="C119">
        <f t="shared" si="5"/>
        <v>177.82794100389256</v>
      </c>
      <c r="D119">
        <f ca="1"/>
        <v>483.14111690366536</v>
      </c>
      <c r="E119">
        <f ca="1"/>
        <v>2.9788565293232109E-3</v>
      </c>
      <c r="F119">
        <f ca="1"/>
        <v>1</v>
      </c>
      <c r="G119">
        <f ca="1"/>
        <v>124.50982701167469</v>
      </c>
      <c r="H119">
        <f t="shared" ca="1" si="6"/>
        <v>108.27409180196838</v>
      </c>
      <c r="J119" s="5" cm="1">
        <f t="array" aca="1" ref="J119" ca="1">thm_rate($C119,qi,Di,bi,bf,telf,bterm,tterm)</f>
        <v>483.14111690366536</v>
      </c>
      <c r="K119" s="5" cm="1">
        <f t="array" aca="1" ref="K119" ca="1">thm_D($C119,qi,Di,bi,bf,telf,bterm,tterm)</f>
        <v>2.9788565293232109E-3</v>
      </c>
      <c r="L119" s="3" cm="1">
        <f t="array" aca="1" ref="L119" ca="1">thm_D_eff(C119,qi,Di,bi,bf,telf,bterm,tterm)</f>
        <v>0.52107906954562666</v>
      </c>
      <c r="M119" cm="1">
        <f t="array" aca="1" ref="M119" ca="1">thm_b(C119,qi,Di,bi,bf,telf,bterm,tterm)</f>
        <v>1</v>
      </c>
      <c r="N119" cm="1">
        <f t="array" aca="1" ref="N119" ca="1">thm_monthly_vol(C119,qi,Di,bi,bf,telf,bterm,tterm)</f>
        <v>15.415531648032399</v>
      </c>
      <c r="O119" cm="1">
        <f t="array" aca="1" ref="O119" ca="1">thm_cum($C119,qi,Di,bi,bf,telf,bterm,tterm)</f>
        <v>124.50982701167469</v>
      </c>
      <c r="Q119" cm="1">
        <f t="array" aca="1" ref="Q119" ca="1">thm_rate(C119,$F$3,$F$4,$F$5,$F$6,$F$7,$F$8,$F$9)</f>
        <v>483.14111690366525</v>
      </c>
      <c r="V119" s="2"/>
      <c r="W119" s="2"/>
      <c r="X119" s="2"/>
      <c r="Y119" s="2"/>
      <c r="Z119" s="2"/>
      <c r="AA119" s="2"/>
    </row>
    <row r="120" spans="2:27" x14ac:dyDescent="0.25">
      <c r="B120" cm="1">
        <f t="array" ref="B120">B119+log_interval</f>
        <v>5.2383810865614553</v>
      </c>
      <c r="C120">
        <f t="shared" si="5"/>
        <v>188.36490894898031</v>
      </c>
      <c r="D120">
        <f ca="1"/>
        <v>468.43773892671277</v>
      </c>
      <c r="E120">
        <f ca="1"/>
        <v>2.888201331582122E-3</v>
      </c>
      <c r="F120">
        <f ca="1"/>
        <v>1</v>
      </c>
      <c r="G120">
        <f ca="1"/>
        <v>129.52240695908284</v>
      </c>
      <c r="H120">
        <f t="shared" ca="1" si="6"/>
        <v>112.63304526304329</v>
      </c>
      <c r="J120" s="5" cm="1">
        <f t="array" aca="1" ref="J120" ca="1">thm_rate($C120,qi,Di,bi,bf,telf,bterm,tterm)</f>
        <v>468.43773892671277</v>
      </c>
      <c r="K120" s="5" cm="1">
        <f t="array" aca="1" ref="K120" ca="1">thm_D($C120,qi,Di,bi,bf,telf,bterm,tterm)</f>
        <v>2.888201331582122E-3</v>
      </c>
      <c r="L120" s="3" cm="1">
        <f t="array" aca="1" ref="L120" ca="1">thm_D_eff(C120,qi,Di,bi,bf,telf,bterm,tterm)</f>
        <v>0.51336199356826984</v>
      </c>
      <c r="M120" cm="1">
        <f t="array" aca="1" ref="M120" ca="1">thm_b(C120,qi,Di,bi,bf,telf,bterm,tterm)</f>
        <v>1</v>
      </c>
      <c r="N120" cm="1">
        <f t="array" aca="1" ref="N120" ca="1">thm_monthly_vol(C120,qi,Di,bi,bf,telf,bterm,tterm)</f>
        <v>14.92411938828748</v>
      </c>
      <c r="O120" cm="1">
        <f t="array" aca="1" ref="O120" ca="1">thm_cum($C120,qi,Di,bi,bf,telf,bterm,tterm)</f>
        <v>129.52240695908284</v>
      </c>
      <c r="Q120" cm="1">
        <f t="array" aca="1" ref="Q120" ca="1">thm_rate(C120,$F$3,$F$4,$F$5,$F$6,$F$7,$F$8,$F$9)</f>
        <v>468.4377389267126</v>
      </c>
      <c r="V120" s="2"/>
      <c r="W120" s="2"/>
      <c r="X120" s="2"/>
      <c r="Y120" s="2"/>
      <c r="Z120" s="2"/>
      <c r="AA120" s="2"/>
    </row>
    <row r="121" spans="2:27" x14ac:dyDescent="0.25">
      <c r="B121" cm="1">
        <f t="array" ref="B121">B120+log_interval</f>
        <v>5.2959457138863062</v>
      </c>
      <c r="C121">
        <f t="shared" si="5"/>
        <v>199.52623149688819</v>
      </c>
      <c r="D121">
        <f ca="1"/>
        <v>453.80869527695023</v>
      </c>
      <c r="E121">
        <f ca="1"/>
        <v>2.7980044498239951E-3</v>
      </c>
      <c r="F121">
        <f ca="1"/>
        <v>1</v>
      </c>
      <c r="G121">
        <f ca="1"/>
        <v>134.66828854114794</v>
      </c>
      <c r="H121">
        <f t="shared" ca="1" si="6"/>
        <v>117.10791819629644</v>
      </c>
      <c r="J121" s="5" cm="1">
        <f t="array" aca="1" ref="J121" ca="1">thm_rate($C121,qi,Di,bi,bf,telf,bterm,tterm)</f>
        <v>453.80869527695023</v>
      </c>
      <c r="K121" s="5" cm="1">
        <f t="array" aca="1" ref="K121" ca="1">thm_D($C121,qi,Di,bi,bf,telf,bterm,tterm)</f>
        <v>2.7980044498239951E-3</v>
      </c>
      <c r="L121" s="3" cm="1">
        <f t="array" aca="1" ref="L121" ca="1">thm_D_eff(C121,qi,Di,bi,bf,telf,bterm,tterm)</f>
        <v>0.50543309571123918</v>
      </c>
      <c r="M121" cm="1">
        <f t="array" aca="1" ref="M121" ca="1">thm_b(C121,qi,Di,bi,bf,telf,bterm,tterm)</f>
        <v>1</v>
      </c>
      <c r="N121" cm="1">
        <f t="array" aca="1" ref="N121" ca="1">thm_monthly_vol(C121,qi,Di,bi,bf,telf,bterm,tterm)</f>
        <v>14.436664697647927</v>
      </c>
      <c r="O121" cm="1">
        <f t="array" aca="1" ref="O121" ca="1">thm_cum($C121,qi,Di,bi,bf,telf,bterm,tterm)</f>
        <v>134.66828854114794</v>
      </c>
      <c r="Q121" cm="1">
        <f t="array" aca="1" ref="Q121" ca="1">thm_rate(C121,$F$3,$F$4,$F$5,$F$6,$F$7,$F$8,$F$9)</f>
        <v>453.80869527695006</v>
      </c>
      <c r="V121" s="2"/>
      <c r="W121" s="2"/>
      <c r="X121" s="2"/>
      <c r="Y121" s="2"/>
      <c r="Z121" s="2"/>
      <c r="AA121" s="2"/>
    </row>
    <row r="122" spans="2:27" x14ac:dyDescent="0.25">
      <c r="B122" cm="1">
        <f t="array" ref="B122">B121+log_interval</f>
        <v>5.3535103412111571</v>
      </c>
      <c r="C122">
        <f t="shared" si="5"/>
        <v>211.34890398366485</v>
      </c>
      <c r="D122">
        <f ca="1"/>
        <v>439.27744559747111</v>
      </c>
      <c r="E122">
        <f ca="1"/>
        <v>2.7084105269048388E-3</v>
      </c>
      <c r="F122">
        <f ca="1"/>
        <v>1</v>
      </c>
      <c r="G122">
        <f ca="1"/>
        <v>139.94668919855752</v>
      </c>
      <c r="H122">
        <f t="shared" ca="1" si="6"/>
        <v>121.6980300859736</v>
      </c>
      <c r="J122" s="5" cm="1">
        <f t="array" aca="1" ref="J122" ca="1">thm_rate($C122,qi,Di,bi,bf,telf,bterm,tterm)</f>
        <v>439.27744559747111</v>
      </c>
      <c r="K122" s="5" cm="1">
        <f t="array" aca="1" ref="K122" ca="1">thm_D($C122,qi,Di,bi,bf,telf,bterm,tterm)</f>
        <v>2.7084105269048388E-3</v>
      </c>
      <c r="L122" s="3" cm="1">
        <f t="array" aca="1" ref="L122" ca="1">thm_D_eff(C122,qi,Di,bi,bf,telf,bterm,tterm)</f>
        <v>0.49729720458405247</v>
      </c>
      <c r="M122" cm="1">
        <f t="array" aca="1" ref="M122" ca="1">thm_b(C122,qi,Di,bi,bf,telf,bterm,tterm)</f>
        <v>1</v>
      </c>
      <c r="N122" cm="1">
        <f t="array" aca="1" ref="N122" ca="1">thm_monthly_vol(C122,qi,Di,bi,bf,telf,bterm,tterm)</f>
        <v>13.953914640752828</v>
      </c>
      <c r="O122" cm="1">
        <f t="array" aca="1" ref="O122" ca="1">thm_cum($C122,qi,Di,bi,bf,telf,bterm,tterm)</f>
        <v>139.94668919855752</v>
      </c>
      <c r="Q122" cm="1">
        <f t="array" aca="1" ref="Q122" ca="1">thm_rate(C122,$F$3,$F$4,$F$5,$F$6,$F$7,$F$8,$F$9)</f>
        <v>439.277445597471</v>
      </c>
      <c r="V122" s="2"/>
      <c r="W122" s="2"/>
      <c r="X122" s="2"/>
      <c r="Y122" s="2"/>
      <c r="Z122" s="2"/>
      <c r="AA122" s="2"/>
    </row>
    <row r="123" spans="2:27" x14ac:dyDescent="0.25">
      <c r="B123" cm="1">
        <f t="array" ref="B123">B122+log_interval</f>
        <v>5.411074968536008</v>
      </c>
      <c r="C123">
        <f t="shared" si="5"/>
        <v>223.87211385683412</v>
      </c>
      <c r="D123">
        <f ca="1"/>
        <v>424.86681572413727</v>
      </c>
      <c r="E123">
        <f ca="1"/>
        <v>2.6195602978766187E-3</v>
      </c>
      <c r="F123">
        <f ca="1"/>
        <v>1</v>
      </c>
      <c r="G123">
        <f ca="1"/>
        <v>145.35661594641812</v>
      </c>
      <c r="H123">
        <f t="shared" ca="1" si="6"/>
        <v>126.40251742965017</v>
      </c>
      <c r="J123" s="5" cm="1">
        <f t="array" aca="1" ref="J123" ca="1">thm_rate($C123,qi,Di,bi,bf,telf,bterm,tterm)</f>
        <v>424.86681572413727</v>
      </c>
      <c r="K123" s="5" cm="1">
        <f t="array" aca="1" ref="K123" ca="1">thm_D($C123,qi,Di,bi,bf,telf,bterm,tterm)</f>
        <v>2.6195602978766187E-3</v>
      </c>
      <c r="L123" s="3" cm="1">
        <f t="array" aca="1" ref="L123" ca="1">thm_D_eff(C123,qi,Di,bi,bf,telf,bterm,tterm)</f>
        <v>0.48896010709477877</v>
      </c>
      <c r="M123" cm="1">
        <f t="array" aca="1" ref="M123" ca="1">thm_b(C123,qi,Di,bi,bf,telf,bterm,tterm)</f>
        <v>1</v>
      </c>
      <c r="N123" cm="1">
        <f t="array" aca="1" ref="N123" ca="1">thm_monthly_vol(C123,qi,Di,bi,bf,telf,bterm,tterm)</f>
        <v>13.476586607056674</v>
      </c>
      <c r="O123" cm="1">
        <f t="array" aca="1" ref="O123" ca="1">thm_cum($C123,qi,Di,bi,bf,telf,bterm,tterm)</f>
        <v>145.35661594641812</v>
      </c>
      <c r="Q123" cm="1">
        <f t="array" aca="1" ref="Q123" ca="1">thm_rate(C123,$F$3,$F$4,$F$5,$F$6,$F$7,$F$8,$F$9)</f>
        <v>424.86681572413715</v>
      </c>
      <c r="V123" s="2"/>
      <c r="W123" s="2"/>
      <c r="X123" s="2"/>
      <c r="Y123" s="2"/>
      <c r="Z123" s="2"/>
      <c r="AA123" s="2"/>
    </row>
    <row r="124" spans="2:27" x14ac:dyDescent="0.25">
      <c r="B124" cm="1">
        <f t="array" ref="B124">B123+log_interval</f>
        <v>5.4686395958608589</v>
      </c>
      <c r="C124">
        <f t="shared" si="5"/>
        <v>237.13737056616563</v>
      </c>
      <c r="D124">
        <f ca="1"/>
        <v>410.59885857872308</v>
      </c>
      <c r="E124">
        <f ca="1"/>
        <v>2.5315897323095497E-3</v>
      </c>
      <c r="F124">
        <f ca="1"/>
        <v>1</v>
      </c>
      <c r="G124">
        <f ca="1"/>
        <v>150.89687177349671</v>
      </c>
      <c r="H124">
        <f t="shared" ca="1" si="6"/>
        <v>131.22033930302931</v>
      </c>
      <c r="J124" s="5" cm="1">
        <f t="array" aca="1" ref="J124" ca="1">thm_rate($C124,qi,Di,bi,bf,telf,bterm,tterm)</f>
        <v>410.59885857872308</v>
      </c>
      <c r="K124" s="5" cm="1">
        <f t="array" aca="1" ref="K124" ca="1">thm_D($C124,qi,Di,bi,bf,telf,bterm,tterm)</f>
        <v>2.5315897323095497E-3</v>
      </c>
      <c r="L124" s="3" cm="1">
        <f t="array" aca="1" ref="L124" ca="1">thm_D_eff(C124,qi,Di,bi,bf,telf,bterm,tterm)</f>
        <v>0.48042856219160757</v>
      </c>
      <c r="M124" cm="1">
        <f t="array" aca="1" ref="M124" ca="1">thm_b(C124,qi,Di,bi,bf,telf,bterm,tterm)</f>
        <v>1</v>
      </c>
      <c r="N124" cm="1">
        <f t="array" aca="1" ref="N124" ca="1">thm_monthly_vol(C124,qi,Di,bi,bf,telf,bterm,tterm)</f>
        <v>13.005364326055457</v>
      </c>
      <c r="O124" cm="1">
        <f t="array" aca="1" ref="O124" ca="1">thm_cum($C124,qi,Di,bi,bf,telf,bterm,tterm)</f>
        <v>150.89687177349671</v>
      </c>
      <c r="Q124" cm="1">
        <f t="array" aca="1" ref="Q124" ca="1">thm_rate(C124,$F$3,$F$4,$F$5,$F$6,$F$7,$F$8,$F$9)</f>
        <v>410.59885857872297</v>
      </c>
      <c r="V124" s="2"/>
      <c r="W124" s="2"/>
      <c r="X124" s="2"/>
      <c r="Y124" s="2"/>
      <c r="Z124" s="2"/>
      <c r="AA124" s="2"/>
    </row>
    <row r="125" spans="2:27" x14ac:dyDescent="0.25">
      <c r="B125" cm="1">
        <f t="array" ref="B125">B124+log_interval</f>
        <v>5.5262042231857098</v>
      </c>
      <c r="C125">
        <f t="shared" si="5"/>
        <v>251.18864315095806</v>
      </c>
      <c r="D125">
        <f ca="1"/>
        <v>396.49472544575752</v>
      </c>
      <c r="E125">
        <f ca="1"/>
        <v>2.4446292406361497E-3</v>
      </c>
      <c r="F125">
        <f ca="1"/>
        <v>1</v>
      </c>
      <c r="G125">
        <f ca="1"/>
        <v>156.56606325968534</v>
      </c>
      <c r="H125">
        <f t="shared" ca="1" si="6"/>
        <v>136.15028398411033</v>
      </c>
      <c r="J125" s="5" cm="1">
        <f t="array" aca="1" ref="J125" ca="1">thm_rate($C125,qi,Di,bi,bf,telf,bterm,tterm)</f>
        <v>396.49472544575752</v>
      </c>
      <c r="K125" s="5" cm="1">
        <f t="array" aca="1" ref="K125" ca="1">thm_D($C125,qi,Di,bi,bf,telf,bterm,tterm)</f>
        <v>2.4446292406361497E-3</v>
      </c>
      <c r="L125" s="3" cm="1">
        <f t="array" aca="1" ref="L125" ca="1">thm_D_eff(C125,qi,Di,bi,bf,telf,bterm,tterm)</f>
        <v>0.47171030617341114</v>
      </c>
      <c r="M125" cm="1">
        <f t="array" aca="1" ref="M125" ca="1">thm_b(C125,qi,Di,bi,bf,telf,bterm,tterm)</f>
        <v>1</v>
      </c>
      <c r="N125" cm="1">
        <f t="array" aca="1" ref="N125" ca="1">thm_monthly_vol(C125,qi,Di,bi,bf,telf,bterm,tterm)</f>
        <v>12.540894315387362</v>
      </c>
      <c r="O125" cm="1">
        <f t="array" aca="1" ref="O125" ca="1">thm_cum($C125,qi,Di,bi,bf,telf,bterm,tterm)</f>
        <v>156.56606325968534</v>
      </c>
      <c r="Q125" cm="1">
        <f t="array" aca="1" ref="Q125" ca="1">thm_rate(C125,$F$3,$F$4,$F$5,$F$6,$F$7,$F$8,$F$9)</f>
        <v>396.49472544575735</v>
      </c>
      <c r="V125" s="2"/>
      <c r="W125" s="2"/>
      <c r="X125" s="2"/>
      <c r="Y125" s="2"/>
      <c r="Z125" s="2"/>
      <c r="AA125" s="2"/>
    </row>
    <row r="126" spans="2:27" x14ac:dyDescent="0.25">
      <c r="B126" cm="1">
        <f t="array" ref="B126">B125+log_interval</f>
        <v>5.5837688505105607</v>
      </c>
      <c r="C126">
        <f t="shared" si="5"/>
        <v>266.07250597988093</v>
      </c>
      <c r="D126">
        <f ca="1"/>
        <v>382.57454913225638</v>
      </c>
      <c r="E126">
        <f ca="1"/>
        <v>2.3588029537604848E-3</v>
      </c>
      <c r="F126">
        <f ca="1"/>
        <v>1</v>
      </c>
      <c r="G126">
        <f ca="1"/>
        <v>162.36260931032024</v>
      </c>
      <c r="H126">
        <f t="shared" ca="1" si="6"/>
        <v>141.190976548577</v>
      </c>
      <c r="J126" s="5" cm="1">
        <f t="array" aca="1" ref="J126" ca="1">thm_rate($C126,qi,Di,bi,bf,telf,bterm,tterm)</f>
        <v>382.57454913225638</v>
      </c>
      <c r="K126" s="5" cm="1">
        <f t="array" aca="1" ref="K126" ca="1">thm_D($C126,qi,Di,bi,bf,telf,bterm,tterm)</f>
        <v>2.3588029537604848E-3</v>
      </c>
      <c r="L126" s="3" cm="1">
        <f t="array" aca="1" ref="L126" ca="1">thm_D_eff(C126,qi,Di,bi,bf,telf,bterm,tterm)</f>
        <v>0.46281404891896449</v>
      </c>
      <c r="M126" cm="1">
        <f t="array" aca="1" ref="M126" ca="1">thm_b(C126,qi,Di,bi,bf,telf,bterm,tterm)</f>
        <v>1</v>
      </c>
      <c r="N126" cm="1">
        <f t="array" aca="1" ref="N126" ca="1">thm_monthly_vol(C126,qi,Di,bi,bf,telf,bterm,tterm)</f>
        <v>12.083782795208151</v>
      </c>
      <c r="O126" cm="1">
        <f t="array" aca="1" ref="O126" ca="1">thm_cum($C126,qi,Di,bi,bf,telf,bterm,tterm)</f>
        <v>162.36260931032024</v>
      </c>
      <c r="Q126" cm="1">
        <f t="array" aca="1" ref="Q126" ca="1">thm_rate(C126,$F$3,$F$4,$F$5,$F$6,$F$7,$F$8,$F$9)</f>
        <v>382.57454913225621</v>
      </c>
      <c r="V126" s="2"/>
      <c r="W126" s="2"/>
      <c r="X126" s="2"/>
      <c r="Y126" s="2"/>
      <c r="Z126" s="2"/>
      <c r="AA126" s="2"/>
    </row>
    <row r="127" spans="2:27" x14ac:dyDescent="0.25">
      <c r="B127" cm="1">
        <f t="array" ref="B127">B126+log_interval</f>
        <v>5.6413334778354116</v>
      </c>
      <c r="C127">
        <f t="shared" si="5"/>
        <v>281.83829312644531</v>
      </c>
      <c r="D127">
        <f ca="1"/>
        <v>368.8573402462539</v>
      </c>
      <c r="E127">
        <f ca="1"/>
        <v>2.2742280835527265E-3</v>
      </c>
      <c r="F127">
        <f ca="1"/>
        <v>1</v>
      </c>
      <c r="G127">
        <f ca="1"/>
        <v>168.28475089354362</v>
      </c>
      <c r="H127">
        <f t="shared" ca="1" si="6"/>
        <v>146.34088733743434</v>
      </c>
      <c r="J127" s="5" cm="1">
        <f t="array" aca="1" ref="J127" ca="1">thm_rate($C127,qi,Di,bi,bf,telf,bterm,tterm)</f>
        <v>368.8573402462539</v>
      </c>
      <c r="K127" s="5" cm="1">
        <f t="array" aca="1" ref="K127" ca="1">thm_D($C127,qi,Di,bi,bf,telf,bterm,tterm)</f>
        <v>2.2742280835527265E-3</v>
      </c>
      <c r="L127" s="3" cm="1">
        <f t="array" aca="1" ref="L127" ca="1">thm_D_eff(C127,qi,Di,bi,bf,telf,bterm,tterm)</f>
        <v>0.45374946049920917</v>
      </c>
      <c r="M127" cm="1">
        <f t="array" aca="1" ref="M127" ca="1">thm_b(C127,qi,Di,bi,bf,telf,bterm,tterm)</f>
        <v>1</v>
      </c>
      <c r="N127" cm="1">
        <f t="array" aca="1" ref="N127" ca="1">thm_monthly_vol(C127,qi,Di,bi,bf,telf,bterm,tterm)</f>
        <v>11.634593092582975</v>
      </c>
      <c r="O127" cm="1">
        <f t="array" aca="1" ref="O127" ca="1">thm_cum($C127,qi,Di,bi,bf,telf,bterm,tterm)</f>
        <v>168.28475089354362</v>
      </c>
      <c r="Q127" cm="1">
        <f t="array" aca="1" ref="Q127" ca="1">thm_rate(C127,$F$3,$F$4,$F$5,$F$6,$F$7,$F$8,$F$9)</f>
        <v>368.85734024625378</v>
      </c>
      <c r="V127" s="2"/>
      <c r="W127" s="2"/>
      <c r="X127" s="2"/>
      <c r="Y127" s="2"/>
      <c r="Z127" s="2"/>
      <c r="AA127" s="2"/>
    </row>
    <row r="128" spans="2:27" x14ac:dyDescent="0.25">
      <c r="B128" cm="1">
        <f t="array" ref="B128">B127+log_interval</f>
        <v>5.6988981051602625</v>
      </c>
      <c r="C128">
        <f t="shared" si="5"/>
        <v>298.5382618917958</v>
      </c>
      <c r="D128">
        <f ca="1"/>
        <v>355.36089754810786</v>
      </c>
      <c r="E128">
        <f ca="1"/>
        <v>2.1910143701108519E-3</v>
      </c>
      <c r="F128">
        <f ca="1"/>
        <v>1</v>
      </c>
      <c r="G128">
        <f ca="1"/>
        <v>174.3305616569331</v>
      </c>
      <c r="H128">
        <f t="shared" ca="1" si="6"/>
        <v>151.59834118925906</v>
      </c>
      <c r="J128" s="5" cm="1">
        <f t="array" aca="1" ref="J128" ca="1">thm_rate($C128,qi,Di,bi,bf,telf,bterm,tterm)</f>
        <v>355.36089754810786</v>
      </c>
      <c r="K128" s="5" cm="1">
        <f t="array" aca="1" ref="K128" ca="1">thm_D($C128,qi,Di,bi,bf,telf,bterm,tterm)</f>
        <v>2.1910143701108519E-3</v>
      </c>
      <c r="L128" s="3" cm="1">
        <f t="array" aca="1" ref="L128" ca="1">thm_D_eff(C128,qi,Di,bi,bf,telf,bterm,tterm)</f>
        <v>0.44452714777379587</v>
      </c>
      <c r="M128" cm="1">
        <f t="array" aca="1" ref="M128" ca="1">thm_b(C128,qi,Di,bi,bf,telf,bterm,tterm)</f>
        <v>1</v>
      </c>
      <c r="N128" cm="1">
        <f t="array" aca="1" ref="N128" ca="1">thm_monthly_vol(C128,qi,Di,bi,bf,telf,bterm,tterm)</f>
        <v>11.193843549895405</v>
      </c>
      <c r="O128" cm="1">
        <f t="array" aca="1" ref="O128" ca="1">thm_cum($C128,qi,Di,bi,bf,telf,bterm,tterm)</f>
        <v>174.3305616569331</v>
      </c>
      <c r="Q128" cm="1">
        <f t="array" aca="1" ref="Q128" ca="1">thm_rate(C128,$F$3,$F$4,$F$5,$F$6,$F$7,$F$8,$F$9)</f>
        <v>355.36089754810769</v>
      </c>
      <c r="V128" s="2"/>
      <c r="W128" s="2"/>
      <c r="X128" s="2"/>
      <c r="Y128" s="2"/>
      <c r="Z128" s="2"/>
      <c r="AA128" s="2"/>
    </row>
    <row r="129" spans="2:27" x14ac:dyDescent="0.25">
      <c r="B129" cm="1">
        <f t="array" ref="B129">B128+log_interval</f>
        <v>5.7564627324851134</v>
      </c>
      <c r="C129">
        <f t="shared" si="5"/>
        <v>316.22776601683768</v>
      </c>
      <c r="D129">
        <f ca="1"/>
        <v>342.10173303693102</v>
      </c>
      <c r="E129">
        <f ca="1"/>
        <v>2.1092636198732869E-3</v>
      </c>
      <c r="F129">
        <f ca="1"/>
        <v>1</v>
      </c>
      <c r="G129">
        <f ca="1"/>
        <v>180.49795929227659</v>
      </c>
      <c r="H129">
        <f t="shared" ca="1" si="6"/>
        <v>156.96152732303958</v>
      </c>
      <c r="J129" s="5" cm="1">
        <f t="array" aca="1" ref="J129" ca="1">thm_rate($C129,qi,Di,bi,bf,telf,bterm,tterm)</f>
        <v>342.10173303693102</v>
      </c>
      <c r="K129" s="5" cm="1">
        <f t="array" aca="1" ref="K129" ca="1">thm_D($C129,qi,Di,bi,bf,telf,bterm,tterm)</f>
        <v>2.1092636198732869E-3</v>
      </c>
      <c r="L129" s="3" cm="1">
        <f t="array" aca="1" ref="L129" ca="1">thm_D_eff(C129,qi,Di,bi,bf,telf,bterm,tterm)</f>
        <v>0.43515862073006406</v>
      </c>
      <c r="M129" cm="1">
        <f t="array" aca="1" ref="M129" ca="1">thm_b(C129,qi,Di,bi,bf,telf,bterm,tterm)</f>
        <v>1</v>
      </c>
      <c r="N129" cm="1">
        <f t="array" aca="1" ref="N129" ca="1">thm_monthly_vol(C129,qi,Di,bi,bf,telf,bterm,tterm)</f>
        <v>10.762005941735566</v>
      </c>
      <c r="O129" cm="1">
        <f t="array" aca="1" ref="O129" ca="1">thm_cum($C129,qi,Di,bi,bf,telf,bterm,tterm)</f>
        <v>180.49795929227659</v>
      </c>
      <c r="Q129" cm="1">
        <f t="array" aca="1" ref="Q129" ca="1">thm_rate(C129,$F$3,$F$4,$F$5,$F$6,$F$7,$F$8,$F$9)</f>
        <v>342.10173303693091</v>
      </c>
      <c r="V129" s="2"/>
      <c r="W129" s="2"/>
      <c r="X129" s="2"/>
      <c r="Y129" s="2"/>
      <c r="Z129" s="2"/>
      <c r="AA129" s="2"/>
    </row>
    <row r="130" spans="2:27" x14ac:dyDescent="0.25">
      <c r="B130" cm="1">
        <f t="array" ref="B130">B129+log_interval</f>
        <v>5.8140273598099643</v>
      </c>
      <c r="C130">
        <f t="shared" si="5"/>
        <v>334.96543915782729</v>
      </c>
      <c r="D130">
        <f ca="1"/>
        <v>329.09501214202567</v>
      </c>
      <c r="E130">
        <f ca="1"/>
        <v>2.0290693368630107E-3</v>
      </c>
      <c r="F130">
        <f ca="1"/>
        <v>1</v>
      </c>
      <c r="G130">
        <f ca="1"/>
        <v>186.78471751268179</v>
      </c>
      <c r="H130">
        <f t="shared" ca="1" si="6"/>
        <v>162.42850975350353</v>
      </c>
      <c r="J130" s="5" cm="1">
        <f t="array" aca="1" ref="J130" ca="1">thm_rate($C130,qi,Di,bi,bf,telf,bterm,tterm)</f>
        <v>329.09501214202567</v>
      </c>
      <c r="K130" s="5" cm="1">
        <f t="array" aca="1" ref="K130" ca="1">thm_D($C130,qi,Di,bi,bf,telf,bterm,tterm)</f>
        <v>2.0290693368630107E-3</v>
      </c>
      <c r="L130" s="3" cm="1">
        <f t="array" aca="1" ref="L130" ca="1">thm_D_eff(C130,qi,Di,bi,bf,telf,bterm,tterm)</f>
        <v>0.42565624849666384</v>
      </c>
      <c r="M130" cm="1">
        <f t="array" aca="1" ref="M130" ca="1">thm_b(C130,qi,Di,bi,bf,telf,bterm,tterm)</f>
        <v>1</v>
      </c>
      <c r="N130" cm="1">
        <f t="array" aca="1" ref="N130" ca="1">thm_monthly_vol(C130,qi,Di,bi,bf,telf,bterm,tterm)</f>
        <v>10.339504395645378</v>
      </c>
      <c r="O130" cm="1">
        <f t="array" aca="1" ref="O130" ca="1">thm_cum($C130,qi,Di,bi,bf,telf,bterm,tterm)</f>
        <v>186.78471751268179</v>
      </c>
      <c r="Q130" cm="1">
        <f t="array" aca="1" ref="Q130" ca="1">thm_rate(C130,$F$3,$F$4,$F$5,$F$6,$F$7,$F$8,$F$9)</f>
        <v>329.09501214202555</v>
      </c>
      <c r="V130" s="2"/>
      <c r="W130" s="2"/>
      <c r="X130" s="2"/>
      <c r="Y130" s="2"/>
      <c r="Z130" s="2"/>
      <c r="AA130" s="2"/>
    </row>
    <row r="131" spans="2:27" x14ac:dyDescent="0.25">
      <c r="B131" cm="1">
        <f t="array" ref="B131">B130+log_interval</f>
        <v>5.8715919871348152</v>
      </c>
      <c r="C131">
        <f t="shared" si="5"/>
        <v>354.81338923357498</v>
      </c>
      <c r="D131">
        <f ca="1"/>
        <v>316.35450910419917</v>
      </c>
      <c r="E131">
        <f ca="1"/>
        <v>1.9505164475864414E-3</v>
      </c>
      <c r="F131">
        <f ca="1"/>
        <v>1</v>
      </c>
      <c r="G131">
        <f ca="1"/>
        <v>193.18847850415278</v>
      </c>
      <c r="H131">
        <f t="shared" ca="1" si="6"/>
        <v>167.99723811904357</v>
      </c>
      <c r="J131" s="5" cm="1">
        <f t="array" aca="1" ref="J131" ca="1">thm_rate($C131,qi,Di,bi,bf,telf,bterm,tterm)</f>
        <v>316.35450910419917</v>
      </c>
      <c r="K131" s="5" cm="1">
        <f t="array" aca="1" ref="K131" ca="1">thm_D($C131,qi,Di,bi,bf,telf,bterm,tterm)</f>
        <v>1.9505164475864414E-3</v>
      </c>
      <c r="L131" s="3" cm="1">
        <f t="array" aca="1" ref="L131" ca="1">thm_D_eff(C131,qi,Di,bi,bf,telf,bterm,tterm)</f>
        <v>0.4160332051513318</v>
      </c>
      <c r="M131" cm="1">
        <f t="array" aca="1" ref="M131" ca="1">thm_b(C131,qi,Di,bi,bf,telf,bterm,tterm)</f>
        <v>1</v>
      </c>
      <c r="N131" cm="1">
        <f t="array" aca="1" ref="N131" ca="1">thm_monthly_vol(C131,qi,Di,bi,bf,telf,bterm,tterm)</f>
        <v>9.9267148036880144</v>
      </c>
      <c r="O131" cm="1">
        <f t="array" aca="1" ref="O131" ca="1">thm_cum($C131,qi,Di,bi,bf,telf,bterm,tterm)</f>
        <v>193.18847850415278</v>
      </c>
      <c r="Q131" cm="1">
        <f t="array" aca="1" ref="Q131" ca="1">thm_rate(C131,$F$3,$F$4,$F$5,$F$6,$F$7,$F$8,$F$9)</f>
        <v>316.35450910419905</v>
      </c>
    </row>
    <row r="132" spans="2:27" x14ac:dyDescent="0.25">
      <c r="B132" cm="1">
        <f t="array" ref="B132">B131+log_interval</f>
        <v>5.9291566144596661</v>
      </c>
      <c r="C132">
        <f t="shared" si="5"/>
        <v>375.83740428844362</v>
      </c>
      <c r="D132">
        <f ca="1"/>
        <v>303.89257736185482</v>
      </c>
      <c r="E132">
        <f ca="1"/>
        <v>1.8736811184458157E-3</v>
      </c>
      <c r="F132">
        <f ca="1"/>
        <v>1</v>
      </c>
      <c r="G132">
        <f ca="1"/>
        <v>199.70676571423428</v>
      </c>
      <c r="H132">
        <f t="shared" ca="1" si="6"/>
        <v>173.66555880275783</v>
      </c>
      <c r="J132" s="5" cm="1">
        <f t="array" aca="1" ref="J132" ca="1">thm_rate($C132,qi,Di,bi,bf,telf,bterm,tterm)</f>
        <v>303.89257736185482</v>
      </c>
      <c r="K132" s="5" cm="1">
        <f t="array" aca="1" ref="K132" ca="1">thm_D($C132,qi,Di,bi,bf,telf,bterm,tterm)</f>
        <v>1.8736811184458157E-3</v>
      </c>
      <c r="L132" s="3" cm="1">
        <f t="array" aca="1" ref="L132" ca="1">thm_D_eff(C132,qi,Di,bi,bf,telf,bterm,tterm)</f>
        <v>0.40630340563826284</v>
      </c>
      <c r="M132" cm="1">
        <f t="array" aca="1" ref="M132" ca="1">thm_b(C132,qi,Di,bi,bf,telf,bterm,tterm)</f>
        <v>1</v>
      </c>
      <c r="N132" cm="1">
        <f t="array" aca="1" ref="N132" ca="1">thm_monthly_vol(C132,qi,Di,bi,bf,telf,bterm,tterm)</f>
        <v>9.5239647042562297</v>
      </c>
      <c r="O132" cm="1">
        <f t="array" aca="1" ref="O132" ca="1">thm_cum($C132,qi,Di,bi,bf,telf,bterm,tterm)</f>
        <v>199.70676571423428</v>
      </c>
      <c r="Q132" cm="1">
        <f t="array" aca="1" ref="Q132" ca="1">thm_rate(C132,$F$3,$F$4,$F$5,$F$6,$F$7,$F$8,$F$9)</f>
        <v>303.89257736185471</v>
      </c>
    </row>
    <row r="133" spans="2:27" x14ac:dyDescent="0.25">
      <c r="B133" cm="1">
        <f t="array" ref="B133">B132+log_interval</f>
        <v>5.986721241784517</v>
      </c>
      <c r="C133">
        <f t="shared" si="5"/>
        <v>398.10717055349653</v>
      </c>
      <c r="D133">
        <f ca="1"/>
        <v>291.72013450825654</v>
      </c>
      <c r="E133">
        <f ca="1"/>
        <v>1.7986306629916493E-3</v>
      </c>
      <c r="F133">
        <f ca="1"/>
        <v>1</v>
      </c>
      <c r="G133">
        <f ca="1"/>
        <v>206.33699684315485</v>
      </c>
      <c r="H133">
        <f t="shared" ca="1" si="6"/>
        <v>179.43122622958433</v>
      </c>
      <c r="J133" s="5" cm="1">
        <f t="array" aca="1" ref="J133" ca="1">thm_rate($C133,qi,Di,bi,bf,telf,bterm,tterm)</f>
        <v>291.72013450825654</v>
      </c>
      <c r="K133" s="5" cm="1">
        <f t="array" aca="1" ref="K133" ca="1">thm_D($C133,qi,Di,bi,bf,telf,bterm,tterm)</f>
        <v>1.7986306629916493E-3</v>
      </c>
      <c r="L133" s="3" cm="1">
        <f t="array" aca="1" ref="L133" ca="1">thm_D_eff(C133,qi,Di,bi,bf,telf,bterm,tterm)</f>
        <v>0.39648143230974409</v>
      </c>
      <c r="M133" cm="1">
        <f t="array" aca="1" ref="M133" ca="1">thm_b(C133,qi,Di,bi,bf,telf,bterm,tterm)</f>
        <v>1</v>
      </c>
      <c r="N133" cm="1">
        <f t="array" aca="1" ref="N133" ca="1">thm_monthly_vol(C133,qi,Di,bi,bf,telf,bterm,tterm)</f>
        <v>9.1315336069749549</v>
      </c>
      <c r="O133" cm="1">
        <f t="array" aca="1" ref="O133" ca="1">thm_cum($C133,qi,Di,bi,bf,telf,bterm,tterm)</f>
        <v>206.33699684315485</v>
      </c>
      <c r="Q133" cm="1">
        <f t="array" aca="1" ref="Q133" ca="1">thm_rate(C133,$F$3,$F$4,$F$5,$F$6,$F$7,$F$8,$F$9)</f>
        <v>291.72013450825648</v>
      </c>
    </row>
    <row r="134" spans="2:27" x14ac:dyDescent="0.25">
      <c r="B134" cm="1">
        <f t="array" ref="B134">B133+log_interval</f>
        <v>6.0442858691093679</v>
      </c>
      <c r="C134">
        <f t="shared" si="5"/>
        <v>421.69650342858142</v>
      </c>
      <c r="D134">
        <f ca="1"/>
        <v>279.84666116461881</v>
      </c>
      <c r="E134">
        <f ca="1"/>
        <v>1.7254235349746542E-3</v>
      </c>
      <c r="F134">
        <f ca="1"/>
        <v>1</v>
      </c>
      <c r="G134">
        <f ca="1"/>
        <v>213.07649690787088</v>
      </c>
      <c r="H134">
        <f t="shared" ca="1" si="6"/>
        <v>185.29191422682982</v>
      </c>
      <c r="J134" s="5" cm="1">
        <f t="array" aca="1" ref="J134" ca="1">thm_rate($C134,qi,Di,bi,bf,telf,bterm,tterm)</f>
        <v>279.84666116461881</v>
      </c>
      <c r="K134" s="5" cm="1">
        <f t="array" aca="1" ref="K134" ca="1">thm_D($C134,qi,Di,bi,bf,telf,bterm,tterm)</f>
        <v>1.7254235349746542E-3</v>
      </c>
      <c r="L134" s="3" cm="1">
        <f t="array" aca="1" ref="L134" ca="1">thm_D_eff(C134,qi,Di,bi,bf,telf,bterm,tterm)</f>
        <v>0.38658245280344306</v>
      </c>
      <c r="M134" cm="1">
        <f t="array" aca="1" ref="M134" ca="1">thm_b(C134,qi,Di,bi,bf,telf,bterm,tterm)</f>
        <v>1</v>
      </c>
      <c r="N134" cm="1">
        <f t="array" aca="1" ref="N134" ca="1">thm_monthly_vol(C134,qi,Di,bi,bf,telf,bterm,tterm)</f>
        <v>8.7496537280848372</v>
      </c>
      <c r="O134" cm="1">
        <f t="array" aca="1" ref="O134" ca="1">thm_cum($C134,qi,Di,bi,bf,telf,bterm,tterm)</f>
        <v>213.07649690787088</v>
      </c>
      <c r="Q134" cm="1">
        <f t="array" aca="1" ref="Q134" ca="1">thm_rate(C134,$F$3,$F$4,$F$5,$F$6,$F$7,$F$8,$F$9)</f>
        <v>279.84666116461869</v>
      </c>
    </row>
    <row r="135" spans="2:27" x14ac:dyDescent="0.25">
      <c r="B135" cm="1">
        <f t="array" ref="B135">B134+log_interval</f>
        <v>6.1018504964342188</v>
      </c>
      <c r="C135">
        <f t="shared" si="5"/>
        <v>446.68359215096211</v>
      </c>
      <c r="D135">
        <f ca="1"/>
        <v>268.28021292259268</v>
      </c>
      <c r="E135">
        <f ca="1"/>
        <v>1.6541094019783759E-3</v>
      </c>
      <c r="F135">
        <f ca="1"/>
        <v>1</v>
      </c>
      <c r="G135">
        <f ca="1"/>
        <v>219.92251125625955</v>
      </c>
      <c r="H135">
        <f t="shared" ca="1" si="6"/>
        <v>191.24522734134828</v>
      </c>
      <c r="J135" s="5" cm="1">
        <f t="array" aca="1" ref="J135" ca="1">thm_rate($C135,qi,Di,bi,bf,telf,bterm,tterm)</f>
        <v>268.28021292259268</v>
      </c>
      <c r="K135" s="5" cm="1">
        <f t="array" aca="1" ref="K135" ca="1">thm_D($C135,qi,Di,bi,bf,telf,bterm,tterm)</f>
        <v>1.6541094019783759E-3</v>
      </c>
      <c r="L135" s="3" cm="1">
        <f t="array" aca="1" ref="L135" ca="1">thm_D_eff(C135,qi,Di,bi,bf,telf,bterm,tterm)</f>
        <v>0.37662213015491608</v>
      </c>
      <c r="M135" cm="1">
        <f t="array" aca="1" ref="M135" ca="1">thm_b(C135,qi,Di,bi,bf,telf,bterm,tterm)</f>
        <v>1</v>
      </c>
      <c r="N135" cm="1">
        <f t="array" aca="1" ref="N135" ca="1">thm_monthly_vol(C135,qi,Di,bi,bf,telf,bterm,tterm)</f>
        <v>8.3785110993609919</v>
      </c>
      <c r="O135" cm="1">
        <f t="array" aca="1" ref="O135" ca="1">thm_cum($C135,qi,Di,bi,bf,telf,bterm,tterm)</f>
        <v>219.92251125625955</v>
      </c>
      <c r="Q135" cm="1">
        <f t="array" aca="1" ref="Q135" ca="1">thm_rate(C135,$F$3,$F$4,$F$5,$F$6,$F$7,$F$8,$F$9)</f>
        <v>268.28021292259257</v>
      </c>
    </row>
    <row r="136" spans="2:27" x14ac:dyDescent="0.25">
      <c r="B136" cm="1">
        <f t="array" ref="B136">B135+log_interval</f>
        <v>6.1594151237590697</v>
      </c>
      <c r="C136">
        <f t="shared" si="5"/>
        <v>473.1512589614793</v>
      </c>
      <c r="D136">
        <f ca="1"/>
        <v>257.02744435187179</v>
      </c>
      <c r="E136">
        <f ca="1"/>
        <v>1.5847292934405661E-3</v>
      </c>
      <c r="F136">
        <f ca="1"/>
        <v>1</v>
      </c>
      <c r="G136">
        <f ca="1"/>
        <v>226.87221841714606</v>
      </c>
      <c r="H136">
        <f t="shared" ca="1" si="6"/>
        <v>197.28871201396024</v>
      </c>
      <c r="J136" s="5" cm="1">
        <f t="array" aca="1" ref="J136" ca="1">thm_rate($C136,qi,Di,bi,bf,telf,bterm,tterm)</f>
        <v>257.02744435187179</v>
      </c>
      <c r="K136" s="5" cm="1">
        <f t="array" aca="1" ref="K136" ca="1">thm_D($C136,qi,Di,bi,bf,telf,bterm,tterm)</f>
        <v>1.5847292934405661E-3</v>
      </c>
      <c r="L136" s="3" cm="1">
        <f t="array" aca="1" ref="L136" ca="1">thm_D_eff(C136,qi,Di,bi,bf,telf,bterm,tterm)</f>
        <v>0.36661652621843777</v>
      </c>
      <c r="M136" cm="1">
        <f t="array" aca="1" ref="M136" ca="1">thm_b(C136,qi,Di,bi,bf,telf,bterm,tterm)</f>
        <v>1</v>
      </c>
      <c r="N136" cm="1">
        <f t="array" aca="1" ref="N136" ca="1">thm_monthly_vol(C136,qi,Di,bi,bf,telf,bterm,tterm)</f>
        <v>8.0182470104345782</v>
      </c>
      <c r="O136" cm="1">
        <f t="array" aca="1" ref="O136" ca="1">thm_cum($C136,qi,Di,bi,bf,telf,bterm,tterm)</f>
        <v>226.87221841714606</v>
      </c>
      <c r="Q136" cm="1">
        <f t="array" aca="1" ref="Q136" ca="1">thm_rate(C136,$F$3,$F$4,$F$5,$F$6,$F$7,$F$8,$F$9)</f>
        <v>257.02744435187168</v>
      </c>
    </row>
    <row r="137" spans="2:27" x14ac:dyDescent="0.25">
      <c r="B137" cm="1">
        <f t="array" ref="B137">B136+log_interval</f>
        <v>6.2169797510839206</v>
      </c>
      <c r="C137">
        <f t="shared" si="5"/>
        <v>501.18723362727093</v>
      </c>
      <c r="D137">
        <f ca="1"/>
        <v>246.0936439452633</v>
      </c>
      <c r="E137">
        <f ca="1"/>
        <v>1.5173158161106357E-3</v>
      </c>
      <c r="F137">
        <f ca="1"/>
        <v>1</v>
      </c>
      <c r="G137">
        <f ca="1"/>
        <v>233.92274268156359</v>
      </c>
      <c r="H137">
        <f t="shared" ca="1" si="6"/>
        <v>203.41986752015148</v>
      </c>
      <c r="J137" s="5" cm="1">
        <f t="array" aca="1" ref="J137" ca="1">thm_rate($C137,qi,Di,bi,bf,telf,bterm,tterm)</f>
        <v>246.0936439452633</v>
      </c>
      <c r="K137" s="5" cm="1">
        <f t="array" aca="1" ref="K137" ca="1">thm_D($C137,qi,Di,bi,bf,telf,bterm,tterm)</f>
        <v>1.5173158161106357E-3</v>
      </c>
      <c r="L137" s="3" cm="1">
        <f t="array" aca="1" ref="L137" ca="1">thm_D_eff(C137,qi,Di,bi,bf,telf,bterm,tterm)</f>
        <v>0.35658199962237302</v>
      </c>
      <c r="M137" cm="1">
        <f t="array" aca="1" ref="M137" ca="1">thm_b(C137,qi,Di,bi,bf,telf,bterm,tterm)</f>
        <v>1</v>
      </c>
      <c r="N137" cm="1">
        <f t="array" aca="1" ref="N137" ca="1">thm_monthly_vol(C137,qi,Di,bi,bf,telf,bterm,tterm)</f>
        <v>7.6689597423195153</v>
      </c>
      <c r="O137" cm="1">
        <f t="array" aca="1" ref="O137" ca="1">thm_cum($C137,qi,Di,bi,bf,telf,bterm,tterm)</f>
        <v>233.92274268156359</v>
      </c>
      <c r="Q137" cm="1">
        <f t="array" aca="1" ref="Q137" ca="1">thm_rate(C137,$F$3,$F$4,$F$5,$F$6,$F$7,$F$8,$F$9)</f>
        <v>246.09364394526321</v>
      </c>
    </row>
    <row r="138" spans="2:27" x14ac:dyDescent="0.25">
      <c r="B138" cm="1">
        <f t="array" ref="B138">B137+log_interval</f>
        <v>6.2745443784087715</v>
      </c>
      <c r="C138">
        <f t="shared" si="5"/>
        <v>530.88444423098679</v>
      </c>
      <c r="D138">
        <f ca="1"/>
        <v>235.48277878467368</v>
      </c>
      <c r="E138">
        <f ca="1"/>
        <v>1.4518934294424088E-3</v>
      </c>
      <c r="F138">
        <f ca="1"/>
        <v>1</v>
      </c>
      <c r="G138">
        <f ca="1"/>
        <v>241.07116632132113</v>
      </c>
      <c r="H138">
        <f t="shared" ca="1" si="6"/>
        <v>209.63615659537362</v>
      </c>
      <c r="J138" s="5" cm="1">
        <f t="array" aca="1" ref="J138" ca="1">thm_rate($C138,qi,Di,bi,bf,telf,bterm,tterm)</f>
        <v>235.48277878467368</v>
      </c>
      <c r="K138" s="5" cm="1">
        <f t="array" aca="1" ref="K138" ca="1">thm_D($C138,qi,Di,bi,bf,telf,bterm,tterm)</f>
        <v>1.4518934294424088E-3</v>
      </c>
      <c r="L138" s="3" cm="1">
        <f t="array" aca="1" ref="L138" ca="1">thm_D_eff(C138,qi,Di,bi,bf,telf,bterm,tterm)</f>
        <v>0.34653509961270657</v>
      </c>
      <c r="M138" cm="1">
        <f t="array" aca="1" ref="M138" ca="1">thm_b(C138,qi,Di,bi,bf,telf,bterm,tterm)</f>
        <v>1</v>
      </c>
      <c r="N138" cm="1">
        <f t="array" aca="1" ref="N138" ca="1">thm_monthly_vol(C138,qi,Di,bi,bf,telf,bterm,tterm)</f>
        <v>7.3307065489343017</v>
      </c>
      <c r="O138" cm="1">
        <f t="array" aca="1" ref="O138" ca="1">thm_cum($C138,qi,Di,bi,bf,telf,bterm,tterm)</f>
        <v>241.07116632132113</v>
      </c>
      <c r="Q138" cm="1">
        <f t="array" aca="1" ref="Q138" ca="1">thm_rate(C138,$F$3,$F$4,$F$5,$F$6,$F$7,$F$8,$F$9)</f>
        <v>235.48277878467357</v>
      </c>
    </row>
    <row r="139" spans="2:27" x14ac:dyDescent="0.25">
      <c r="B139" cm="1">
        <f t="array" ref="B139">B138+log_interval</f>
        <v>6.3321090057336225</v>
      </c>
      <c r="C139">
        <f t="shared" si="5"/>
        <v>562.34132519034733</v>
      </c>
      <c r="D139">
        <f ca="1"/>
        <v>225.19754765595036</v>
      </c>
      <c r="E139">
        <f ca="1"/>
        <v>1.3884787730791732E-3</v>
      </c>
      <c r="F139">
        <f ca="1"/>
        <v>1</v>
      </c>
      <c r="G139">
        <f ca="1"/>
        <v>248.31454136228834</v>
      </c>
      <c r="H139">
        <f t="shared" ca="1" si="6"/>
        <v>215.93501567312521</v>
      </c>
      <c r="J139" s="5" cm="1">
        <f t="array" aca="1" ref="J139" ca="1">thm_rate($C139,qi,Di,bi,bf,telf,bterm,tterm)</f>
        <v>225.19754765595036</v>
      </c>
      <c r="K139" s="5" cm="1">
        <f t="array" aca="1" ref="K139" ca="1">thm_D($C139,qi,Di,bi,bf,telf,bterm,tterm)</f>
        <v>1.3884787730791732E-3</v>
      </c>
      <c r="L139" s="3" cm="1">
        <f t="array" aca="1" ref="L139" ca="1">thm_D_eff(C139,qi,Di,bi,bf,telf,bterm,tterm)</f>
        <v>0.33649245723554888</v>
      </c>
      <c r="M139" cm="1">
        <f t="array" aca="1" ref="M139" ca="1">thm_b(C139,qi,Di,bi,bf,telf,bterm,tterm)</f>
        <v>1</v>
      </c>
      <c r="N139" cm="1">
        <f t="array" aca="1" ref="N139" ca="1">thm_monthly_vol(C139,qi,Di,bi,bf,telf,bterm,tterm)</f>
        <v>7.0035058433692257</v>
      </c>
      <c r="O139" cm="1">
        <f t="array" aca="1" ref="O139" ca="1">thm_cum($C139,qi,Di,bi,bf,telf,bterm,tterm)</f>
        <v>248.31454136228834</v>
      </c>
      <c r="Q139" cm="1">
        <f t="array" aca="1" ref="Q139" ca="1">thm_rate(C139,$F$3,$F$4,$F$5,$F$6,$F$7,$F$8,$F$9)</f>
        <v>225.19754765595027</v>
      </c>
    </row>
    <row r="140" spans="2:27" x14ac:dyDescent="0.25">
      <c r="B140" cm="1">
        <f t="array" ref="B140">B139+log_interval</f>
        <v>6.3896736330584734</v>
      </c>
      <c r="C140">
        <f t="shared" si="5"/>
        <v>595.6621435290084</v>
      </c>
      <c r="D140">
        <f ca="1"/>
        <v>215.23944131639055</v>
      </c>
      <c r="E140">
        <f ca="1"/>
        <v>1.3270810384392393E-3</v>
      </c>
      <c r="F140">
        <f ca="1"/>
        <v>1</v>
      </c>
      <c r="G140">
        <f ca="1"/>
        <v>255.64990084149824</v>
      </c>
      <c r="H140">
        <f t="shared" ca="1" si="6"/>
        <v>222.31386467415982</v>
      </c>
      <c r="J140" s="5" cm="1">
        <f t="array" aca="1" ref="J140" ca="1">thm_rate($C140,qi,Di,bi,bf,telf,bterm,tterm)</f>
        <v>215.23944131639055</v>
      </c>
      <c r="K140" s="5" cm="1">
        <f t="array" aca="1" ref="K140" ca="1">thm_D($C140,qi,Di,bi,bf,telf,bterm,tterm)</f>
        <v>1.3270810384392393E-3</v>
      </c>
      <c r="L140" s="3" cm="1">
        <f t="array" aca="1" ref="L140" ca="1">thm_D_eff(C140,qi,Di,bi,bf,telf,bterm,tterm)</f>
        <v>0.3264706753729415</v>
      </c>
      <c r="M140" cm="1">
        <f t="array" aca="1" ref="M140" ca="1">thm_b(C140,qi,Di,bi,bf,telf,bterm,tterm)</f>
        <v>1</v>
      </c>
      <c r="N140" cm="1">
        <f t="array" aca="1" ref="N140" ca="1">thm_monthly_vol(C140,qi,Di,bi,bf,telf,bterm,tterm)</f>
        <v>6.687339546476494</v>
      </c>
      <c r="O140" cm="1">
        <f t="array" aca="1" ref="O140" ca="1">thm_cum($C140,qi,Di,bi,bf,telf,bterm,tterm)</f>
        <v>255.64990084149824</v>
      </c>
      <c r="Q140" cm="1">
        <f t="array" aca="1" ref="Q140" ca="1">thm_rate(C140,$F$3,$F$4,$F$5,$F$6,$F$7,$F$8,$F$9)</f>
        <v>215.2394413163905</v>
      </c>
    </row>
    <row r="141" spans="2:27" x14ac:dyDescent="0.25">
      <c r="B141" cm="1">
        <f t="array" ref="B141">B140+log_interval</f>
        <v>6.4472382603833243</v>
      </c>
      <c r="C141">
        <f t="shared" si="5"/>
        <v>630.95734448019095</v>
      </c>
      <c r="D141">
        <f ca="1"/>
        <v>205.60880862322085</v>
      </c>
      <c r="E141">
        <f ca="1"/>
        <v>1.2677023764379209E-3</v>
      </c>
      <c r="F141">
        <f ca="1"/>
        <v>1</v>
      </c>
      <c r="G141">
        <f ca="1"/>
        <v>263.07426948894874</v>
      </c>
      <c r="H141">
        <f t="shared" ca="1" si="6"/>
        <v>228.77011629541005</v>
      </c>
      <c r="J141" s="5" cm="1">
        <f t="array" aca="1" ref="J141" ca="1">thm_rate($C141,qi,Di,bi,bf,telf,bterm,tterm)</f>
        <v>205.60880862322085</v>
      </c>
      <c r="K141" s="5" cm="1">
        <f t="array" aca="1" ref="K141" ca="1">thm_D($C141,qi,Di,bi,bf,telf,bterm,tterm)</f>
        <v>1.2677023764379209E-3</v>
      </c>
      <c r="L141" s="3" cm="1">
        <f t="array" aca="1" ref="L141" ca="1">thm_D_eff(C141,qi,Di,bi,bf,telf,bterm,tterm)</f>
        <v>0.31648621917379771</v>
      </c>
      <c r="M141" cm="1">
        <f t="array" aca="1" ref="M141" ca="1">thm_b(C141,qi,Di,bi,bf,telf,bterm,tterm)</f>
        <v>1</v>
      </c>
      <c r="N141" cm="1">
        <f t="array" aca="1" ref="N141" ca="1">thm_monthly_vol(C141,qi,Di,bi,bf,telf,bterm,tterm)</f>
        <v>6.3821555569314228</v>
      </c>
      <c r="O141" cm="1">
        <f t="array" aca="1" ref="O141" ca="1">thm_cum($C141,qi,Di,bi,bf,telf,bterm,tterm)</f>
        <v>263.07426948894874</v>
      </c>
      <c r="Q141" cm="1">
        <f t="array" aca="1" ref="Q141" ca="1">thm_rate(C141,$F$3,$F$4,$F$5,$F$6,$F$7,$F$8,$F$9)</f>
        <v>205.60880862322074</v>
      </c>
    </row>
    <row r="142" spans="2:27" x14ac:dyDescent="0.25">
      <c r="B142" cm="1">
        <f t="array" ref="B142">B141+log_interval</f>
        <v>6.5048028877081752</v>
      </c>
      <c r="C142">
        <f t="shared" si="5"/>
        <v>668.34391756861203</v>
      </c>
      <c r="D142">
        <f ca="1"/>
        <v>196.30492726117004</v>
      </c>
      <c r="E142">
        <f ca="1"/>
        <v>1.210338333565702E-3</v>
      </c>
      <c r="F142">
        <f ca="1"/>
        <v>1</v>
      </c>
      <c r="G142">
        <f ca="1"/>
        <v>270.58467378660498</v>
      </c>
      <c r="H142">
        <f t="shared" ca="1" si="6"/>
        <v>235.30118475732417</v>
      </c>
      <c r="J142" s="5" cm="1">
        <f t="array" aca="1" ref="J142" ca="1">thm_rate($C142,qi,Di,bi,bf,telf,bterm,tterm)</f>
        <v>196.30492726117004</v>
      </c>
      <c r="K142" s="5" cm="1">
        <f t="array" aca="1" ref="K142" ca="1">thm_D($C142,qi,Di,bi,bf,telf,bterm,tterm)</f>
        <v>1.210338333565702E-3</v>
      </c>
      <c r="L142" s="3" cm="1">
        <f t="array" aca="1" ref="L142" ca="1">thm_D_eff(C142,qi,Di,bi,bf,telf,bterm,tterm)</f>
        <v>0.30655530841232514</v>
      </c>
      <c r="M142" cm="1">
        <f t="array" aca="1" ref="M142" ca="1">thm_b(C142,qi,Di,bi,bf,telf,bterm,tterm)</f>
        <v>1</v>
      </c>
      <c r="N142" cm="1">
        <f t="array" aca="1" ref="N142" ca="1">thm_monthly_vol(C142,qi,Di,bi,bf,telf,bterm,tterm)</f>
        <v>6.0878703041080371</v>
      </c>
      <c r="O142" cm="1">
        <f t="array" aca="1" ref="O142" ca="1">thm_cum($C142,qi,Di,bi,bf,telf,bterm,tterm)</f>
        <v>270.58467378660498</v>
      </c>
      <c r="Q142" cm="1">
        <f t="array" aca="1" ref="Q142" ca="1">thm_rate(C142,$F$3,$F$4,$F$5,$F$6,$F$7,$F$8,$F$9)</f>
        <v>196.30492726116992</v>
      </c>
    </row>
    <row r="143" spans="2:27" x14ac:dyDescent="0.25">
      <c r="B143" cm="1">
        <f t="array" ref="B143">B142+log_interval</f>
        <v>6.5623675150330261</v>
      </c>
      <c r="C143">
        <f t="shared" si="5"/>
        <v>707.94578438413498</v>
      </c>
      <c r="D143">
        <f ca="1"/>
        <v>187.32607785875061</v>
      </c>
      <c r="E143">
        <f ca="1"/>
        <v>1.1549783088598354E-3</v>
      </c>
      <c r="F143">
        <f ca="1"/>
        <v>1</v>
      </c>
      <c r="G143">
        <f ca="1"/>
        <v>278.17815136835191</v>
      </c>
      <c r="H143">
        <f t="shared" ca="1" si="6"/>
        <v>241.90449397809084</v>
      </c>
      <c r="J143" s="5" cm="1">
        <f t="array" aca="1" ref="J143" ca="1">thm_rate($C143,qi,Di,bi,bf,telf,bterm,tterm)</f>
        <v>187.32607785875061</v>
      </c>
      <c r="K143" s="5" cm="1">
        <f t="array" aca="1" ref="K143" ca="1">thm_D($C143,qi,Di,bi,bf,telf,bterm,tterm)</f>
        <v>1.1549783088598354E-3</v>
      </c>
      <c r="L143" s="3" cm="1">
        <f t="array" aca="1" ref="L143" ca="1">thm_D_eff(C143,qi,Di,bi,bf,telf,bterm,tterm)</f>
        <v>0.29669381326013078</v>
      </c>
      <c r="M143" cm="1">
        <f t="array" aca="1" ref="M143" ca="1">thm_b(C143,qi,Di,bi,bf,telf,bterm,tterm)</f>
        <v>1</v>
      </c>
      <c r="N143" cm="1">
        <f t="array" aca="1" ref="N143" ca="1">thm_monthly_vol(C143,qi,Di,bi,bf,telf,bterm,tterm)</f>
        <v>5.8043713477969732</v>
      </c>
      <c r="O143" cm="1">
        <f t="array" aca="1" ref="O143" ca="1">thm_cum($C143,qi,Di,bi,bf,telf,bterm,tterm)</f>
        <v>278.17815136835191</v>
      </c>
      <c r="Q143" cm="1">
        <f t="array" aca="1" ref="Q143" ca="1">thm_rate(C143,$F$3,$F$4,$F$5,$F$6,$F$7,$F$8,$F$9)</f>
        <v>187.32607785875052</v>
      </c>
    </row>
    <row r="144" spans="2:27" x14ac:dyDescent="0.25">
      <c r="B144" cm="1">
        <f t="array" ref="B144">B143+log_interval</f>
        <v>6.619932142357877</v>
      </c>
      <c r="C144">
        <f t="shared" si="5"/>
        <v>749.89420933245253</v>
      </c>
      <c r="D144">
        <f ca="1"/>
        <v>178.66962035220413</v>
      </c>
      <c r="E144">
        <f ca="1"/>
        <v>1.1016060247341468E-3</v>
      </c>
      <c r="F144">
        <f ca="1"/>
        <v>1</v>
      </c>
      <c r="G144">
        <f ca="1"/>
        <v>285.85175973534615</v>
      </c>
      <c r="H144">
        <f t="shared" ca="1" si="6"/>
        <v>248.57748515253351</v>
      </c>
      <c r="J144" s="5" cm="1">
        <f t="array" aca="1" ref="J144" ca="1">thm_rate($C144,qi,Di,bi,bf,telf,bterm,tterm)</f>
        <v>178.66962035220413</v>
      </c>
      <c r="K144" s="5" cm="1">
        <f t="array" aca="1" ref="K144" ca="1">thm_D($C144,qi,Di,bi,bf,telf,bterm,tterm)</f>
        <v>1.1016060247341468E-3</v>
      </c>
      <c r="L144" s="3" cm="1">
        <f t="array" aca="1" ref="L144" ca="1">thm_D_eff(C144,qi,Di,bi,bf,telf,bterm,tterm)</f>
        <v>0.28691715487709524</v>
      </c>
      <c r="M144" cm="1">
        <f t="array" aca="1" ref="M144" ca="1">thm_b(C144,qi,Di,bi,bf,telf,bterm,tterm)</f>
        <v>1</v>
      </c>
      <c r="N144" cm="1">
        <f t="array" aca="1" ref="N144" ca="1">thm_monthly_vol(C144,qi,Di,bi,bf,telf,bterm,tterm)</f>
        <v>5.5315199918522922</v>
      </c>
      <c r="O144" cm="1">
        <f t="array" aca="1" ref="O144" ca="1">thm_cum($C144,qi,Di,bi,bf,telf,bterm,tterm)</f>
        <v>285.85175973534615</v>
      </c>
      <c r="Q144" cm="1">
        <f t="array" aca="1" ref="Q144" ca="1">thm_rate(C144,$F$3,$F$4,$F$5,$F$6,$F$7,$F$8,$F$9)</f>
        <v>178.66962035220405</v>
      </c>
    </row>
    <row r="145" spans="2:17" x14ac:dyDescent="0.25">
      <c r="B145" cm="1">
        <f t="array" ref="B145">B144+log_interval</f>
        <v>6.6774967696827279</v>
      </c>
      <c r="C145">
        <f t="shared" si="5"/>
        <v>794.32823472427788</v>
      </c>
      <c r="D145">
        <f ca="1"/>
        <v>170.33207153941143</v>
      </c>
      <c r="E145">
        <f ca="1"/>
        <v>1.0502000051456906E-3</v>
      </c>
      <c r="F145">
        <f ca="1"/>
        <v>1</v>
      </c>
      <c r="G145">
        <f ca="1"/>
        <v>293.60258427121278</v>
      </c>
      <c r="H145">
        <f t="shared" ca="1" si="6"/>
        <v>255.31762372214763</v>
      </c>
      <c r="J145" s="5" cm="1">
        <f t="array" aca="1" ref="J145" ca="1">thm_rate($C145,qi,Di,bi,bf,telf,bterm,tterm)</f>
        <v>170.33207153941143</v>
      </c>
      <c r="K145" s="5" cm="1">
        <f t="array" aca="1" ref="K145" ca="1">thm_D($C145,qi,Di,bi,bf,telf,bterm,tterm)</f>
        <v>1.0502000051456906E-3</v>
      </c>
      <c r="L145" s="3" cm="1">
        <f t="array" aca="1" ref="L145" ca="1">thm_D_eff(C145,qi,Di,bi,bf,telf,bterm,tterm)</f>
        <v>0.27724021211294136</v>
      </c>
      <c r="M145" cm="1">
        <f t="array" aca="1" ref="M145" ca="1">thm_b(C145,qi,Di,bi,bf,telf,bterm,tterm)</f>
        <v>1</v>
      </c>
      <c r="N145" cm="1">
        <f t="array" aca="1" ref="N145" ca="1">thm_monthly_vol(C145,qi,Di,bi,bf,telf,bterm,tterm)</f>
        <v>5.2691538821568429</v>
      </c>
      <c r="O145" cm="1">
        <f t="array" aca="1" ref="O145" ca="1">thm_cum($C145,qi,Di,bi,bf,telf,bterm,tterm)</f>
        <v>293.60258427121278</v>
      </c>
      <c r="Q145" cm="1">
        <f t="array" aca="1" ref="Q145" ca="1">thm_rate(C145,$F$3,$F$4,$F$5,$F$6,$F$7,$F$8,$F$9)</f>
        <v>170.33207153941134</v>
      </c>
    </row>
    <row r="146" spans="2:17" x14ac:dyDescent="0.25">
      <c r="B146" cm="1">
        <f t="array" ref="B146">B145+log_interval</f>
        <v>6.7350613970075788</v>
      </c>
      <c r="C146">
        <f t="shared" si="5"/>
        <v>841.39514164519096</v>
      </c>
      <c r="D146">
        <f ca="1"/>
        <v>162.30918285969119</v>
      </c>
      <c r="E146">
        <f ca="1"/>
        <v>1.0007340551541413E-3</v>
      </c>
      <c r="F146">
        <f ca="1"/>
        <v>1</v>
      </c>
      <c r="G146">
        <f ca="1"/>
        <v>301.42774555072799</v>
      </c>
      <c r="H146">
        <f t="shared" ca="1" si="6"/>
        <v>262.12240573075161</v>
      </c>
      <c r="J146" s="5" cm="1">
        <f t="array" aca="1" ref="J146" ca="1">thm_rate($C146,qi,Di,bi,bf,telf,bterm,tterm)</f>
        <v>162.30918285969119</v>
      </c>
      <c r="K146" s="5" cm="1">
        <f t="array" aca="1" ref="K146" ca="1">thm_D($C146,qi,Di,bi,bf,telf,bterm,tterm)</f>
        <v>1.0007340551541413E-3</v>
      </c>
      <c r="L146" s="3" cm="1">
        <f t="array" aca="1" ref="L146" ca="1">thm_D_eff(C146,qi,Di,bi,bf,telf,bterm,tterm)</f>
        <v>0.26767723547024447</v>
      </c>
      <c r="M146" cm="1">
        <f t="array" aca="1" ref="M146" ca="1">thm_b(C146,qi,Di,bi,bf,telf,bterm,tterm)</f>
        <v>1</v>
      </c>
      <c r="N146" cm="1">
        <f t="array" aca="1" ref="N146" ca="1">thm_monthly_vol(C146,qi,Di,bi,bf,telf,bterm,tterm)</f>
        <v>5.0170895627495611</v>
      </c>
      <c r="O146" cm="1">
        <f t="array" aca="1" ref="O146" ca="1">thm_cum($C146,qi,Di,bi,bf,telf,bterm,tterm)</f>
        <v>301.42774555072799</v>
      </c>
      <c r="Q146" cm="1">
        <f t="array" aca="1" ref="Q146" ca="1">thm_rate(C146,$F$3,$F$4,$F$5,$F$6,$F$7,$F$8,$F$9)</f>
        <v>162.30918285969111</v>
      </c>
    </row>
    <row r="147" spans="2:17" x14ac:dyDescent="0.25">
      <c r="B147" cm="1">
        <f t="array" ref="B147">B146+log_interval</f>
        <v>6.7926260243324297</v>
      </c>
      <c r="C147">
        <f t="shared" si="5"/>
        <v>891.25093813374099</v>
      </c>
      <c r="D147">
        <f ca="1"/>
        <v>154.59601753581458</v>
      </c>
      <c r="E147">
        <f ca="1"/>
        <v>9.5317773654886632E-4</v>
      </c>
      <c r="F147">
        <f ca="1"/>
        <v>1</v>
      </c>
      <c r="G147">
        <f ca="1"/>
        <v>309.3244059439379</v>
      </c>
      <c r="H147">
        <f t="shared" ca="1" si="6"/>
        <v>268.98936356744679</v>
      </c>
      <c r="J147" s="5" cm="1">
        <f t="array" aca="1" ref="J147" ca="1">thm_rate($C147,qi,Di,bi,bf,telf,bterm,tterm)</f>
        <v>154.59601753581458</v>
      </c>
      <c r="K147" s="5" cm="1">
        <f t="array" aca="1" ref="K147" ca="1">thm_D($C147,qi,Di,bi,bf,telf,bterm,tterm)</f>
        <v>9.5317773654886632E-4</v>
      </c>
      <c r="L147" s="3" cm="1">
        <f t="array" aca="1" ref="L147" ca="1">thm_D_eff(C147,qi,Di,bi,bf,telf,bterm,tterm)</f>
        <v>0.25824176931536869</v>
      </c>
      <c r="M147" cm="1">
        <f t="array" aca="1" ref="M147" ca="1">thm_b(C147,qi,Di,bi,bf,telf,bterm,tterm)</f>
        <v>1</v>
      </c>
      <c r="N147" cm="1">
        <f t="array" aca="1" ref="N147" ca="1">thm_monthly_vol(C147,qi,Di,bi,bf,telf,bterm,tterm)</f>
        <v>4.7751249674495284</v>
      </c>
      <c r="O147" cm="1">
        <f t="array" aca="1" ref="O147" ca="1">thm_cum($C147,qi,Di,bi,bf,telf,bterm,tterm)</f>
        <v>309.3244059439379</v>
      </c>
      <c r="Q147" cm="1">
        <f t="array" aca="1" ref="Q147" ca="1">thm_rate(C147,$F$3,$F$4,$F$5,$F$6,$F$7,$F$8,$F$9)</f>
        <v>154.59601753581452</v>
      </c>
    </row>
    <row r="148" spans="2:17" x14ac:dyDescent="0.25">
      <c r="B148" cm="1">
        <f t="array" ref="B148">B147+log_interval</f>
        <v>6.8501906516572806</v>
      </c>
      <c r="C148">
        <f t="shared" si="5"/>
        <v>944.06087628591831</v>
      </c>
      <c r="D148">
        <f ca="1"/>
        <v>147.18702631856132</v>
      </c>
      <c r="E148">
        <f ca="1"/>
        <v>9.0749683485981804E-4</v>
      </c>
      <c r="F148">
        <f ca="1"/>
        <v>1</v>
      </c>
      <c r="G148">
        <f ca="1"/>
        <v>317.2897755250392</v>
      </c>
      <c r="H148">
        <f t="shared" ca="1" si="6"/>
        <v>275.91607110499643</v>
      </c>
      <c r="J148" s="5" cm="1">
        <f t="array" aca="1" ref="J148" ca="1">thm_rate($C148,qi,Di,bi,bf,telf,bterm,tterm)</f>
        <v>147.18702631856132</v>
      </c>
      <c r="K148" s="5" cm="1">
        <f t="array" aca="1" ref="K148" ca="1">thm_D($C148,qi,Di,bi,bf,telf,bterm,tterm)</f>
        <v>9.0749683485981804E-4</v>
      </c>
      <c r="L148" s="3" cm="1">
        <f t="array" aca="1" ref="L148" ca="1">thm_D_eff(C148,qi,Di,bi,bf,telf,bterm,tterm)</f>
        <v>0.24894658314203155</v>
      </c>
      <c r="M148" cm="1">
        <f t="array" aca="1" ref="M148" ca="1">thm_b(C148,qi,Di,bi,bf,telf,bterm,tterm)</f>
        <v>1</v>
      </c>
      <c r="N148" cm="1">
        <f t="array" aca="1" ref="N148" ca="1">thm_monthly_vol(C148,qi,Di,bi,bf,telf,bterm,tterm)</f>
        <v>4.5430418277743456</v>
      </c>
      <c r="O148" cm="1">
        <f t="array" aca="1" ref="O148" ca="1">thm_cum($C148,qi,Di,bi,bf,telf,bterm,tterm)</f>
        <v>317.2897755250392</v>
      </c>
      <c r="Q148" cm="1">
        <f t="array" aca="1" ref="Q148" ca="1">thm_rate(C148,$F$3,$F$4,$F$5,$F$6,$F$7,$F$8,$F$9)</f>
        <v>147.18702631856124</v>
      </c>
    </row>
    <row r="149" spans="2:17" x14ac:dyDescent="0.25">
      <c r="B149" cm="1">
        <f t="array" ref="B149">B148+log_interval</f>
        <v>6.9077552789821315</v>
      </c>
      <c r="C149">
        <f t="shared" si="5"/>
        <v>999.99999999999443</v>
      </c>
      <c r="D149">
        <f ca="1"/>
        <v>140.07612117890898</v>
      </c>
      <c r="E149">
        <f ca="1"/>
        <v>8.6365381371435233E-4</v>
      </c>
      <c r="F149">
        <f ca="1"/>
        <v>1</v>
      </c>
      <c r="G149">
        <f ca="1"/>
        <v>325.3211173017778</v>
      </c>
      <c r="H149">
        <f t="shared" ca="1" si="6"/>
        <v>282.90014824732543</v>
      </c>
      <c r="J149" s="5" cm="1">
        <f t="array" aca="1" ref="J149" ca="1">thm_rate($C149,qi,Di,bi,bf,telf,bterm,tterm)</f>
        <v>140.07612117890898</v>
      </c>
      <c r="K149" s="5" cm="1">
        <f t="array" aca="1" ref="K149" ca="1">thm_D($C149,qi,Di,bi,bf,telf,bterm,tterm)</f>
        <v>8.6365381371435233E-4</v>
      </c>
      <c r="L149" s="3" cm="1">
        <f t="array" aca="1" ref="L149" ca="1">thm_D_eff(C149,qi,Di,bi,bf,telf,bterm,tterm)</f>
        <v>0.23980361249888993</v>
      </c>
      <c r="M149" cm="1">
        <f t="array" aca="1" ref="M149" ca="1">thm_b(C149,qi,Di,bi,bf,telf,bterm,tterm)</f>
        <v>1</v>
      </c>
      <c r="N149" cm="1">
        <f t="array" aca="1" ref="N149" ca="1">thm_monthly_vol(C149,qi,Di,bi,bf,telf,bterm,tterm)</f>
        <v>4.3206079812980533</v>
      </c>
      <c r="O149" cm="1">
        <f t="array" aca="1" ref="O149" ca="1">thm_cum($C149,qi,Di,bi,bf,telf,bterm,tterm)</f>
        <v>325.3211173017778</v>
      </c>
      <c r="Q149" cm="1">
        <f t="array" aca="1" ref="Q149" ca="1">thm_rate(C149,$F$3,$F$4,$F$5,$F$6,$F$7,$F$8,$F$9)</f>
        <v>140.07612117890892</v>
      </c>
    </row>
    <row r="150" spans="2:17" x14ac:dyDescent="0.25">
      <c r="B150" cm="1">
        <f t="array" ref="B150">B149+log_interval</f>
        <v>6.9653199063069824</v>
      </c>
      <c r="C150">
        <f t="shared" si="5"/>
        <v>1059.2537251772828</v>
      </c>
      <c r="D150">
        <f ca="1"/>
        <v>133.25674639606643</v>
      </c>
      <c r="E150">
        <f ca="1"/>
        <v>8.2160825313784905E-4</v>
      </c>
      <c r="F150">
        <f ca="1"/>
        <v>1</v>
      </c>
      <c r="G150">
        <f ca="1"/>
        <v>333.41575178660059</v>
      </c>
      <c r="H150">
        <f t="shared" ca="1" si="6"/>
        <v>289.93926490460666</v>
      </c>
      <c r="J150" s="5" cm="1">
        <f t="array" aca="1" ref="J150" ca="1">thm_rate($C150,qi,Di,bi,bf,telf,bterm,tterm)</f>
        <v>133.25674639606643</v>
      </c>
      <c r="K150" s="5" cm="1">
        <f t="array" aca="1" ref="K150" ca="1">thm_D($C150,qi,Di,bi,bf,telf,bterm,tterm)</f>
        <v>8.2160825313784905E-4</v>
      </c>
      <c r="L150" s="3" cm="1">
        <f t="array" aca="1" ref="L150" ca="1">thm_D_eff(C150,qi,Di,bi,bf,telf,bterm,tterm)</f>
        <v>0.23082390999378888</v>
      </c>
      <c r="M150" cm="1">
        <f t="array" aca="1" ref="M150" ca="1">thm_b(C150,qi,Di,bi,bf,telf,bterm,tterm)</f>
        <v>1</v>
      </c>
      <c r="N150" cm="1">
        <f t="array" aca="1" ref="N150" ca="1">thm_monthly_vol(C150,qi,Di,bi,bf,telf,bterm,tterm)</f>
        <v>4.1075795677843416</v>
      </c>
      <c r="O150" cm="1">
        <f t="array" aca="1" ref="O150" ca="1">thm_cum($C150,qi,Di,bi,bf,telf,bterm,tterm)</f>
        <v>333.41575178660059</v>
      </c>
      <c r="Q150" cm="1">
        <f t="array" aca="1" ref="Q150" ca="1">thm_rate(C150,$F$3,$F$4,$F$5,$F$6,$F$7,$F$8,$F$9)</f>
        <v>133.25674639606638</v>
      </c>
    </row>
    <row r="151" spans="2:17" x14ac:dyDescent="0.25">
      <c r="B151" cm="1">
        <f t="array" ref="B151">B150+log_interval</f>
        <v>7.0228845336318333</v>
      </c>
      <c r="C151">
        <f t="shared" si="5"/>
        <v>1122.0184543019566</v>
      </c>
      <c r="D151">
        <f ca="1"/>
        <v>126.72194658901482</v>
      </c>
      <c r="E151">
        <f ca="1"/>
        <v>7.8131726900921563E-4</v>
      </c>
      <c r="F151">
        <f ca="1"/>
        <v>1</v>
      </c>
      <c r="G151">
        <f ca="1"/>
        <v>341.57106093535526</v>
      </c>
      <c r="H151">
        <f t="shared" ca="1" si="6"/>
        <v>297.03114441836505</v>
      </c>
      <c r="J151" s="5" cm="1">
        <f t="array" aca="1" ref="J151" ca="1">thm_rate($C151,qi,Di,bi,bf,telf,bterm,tterm)</f>
        <v>126.72194658901482</v>
      </c>
      <c r="K151" s="5" cm="1">
        <f t="array" aca="1" ref="K151" ca="1">thm_D($C151,qi,Di,bi,bf,telf,bterm,tterm)</f>
        <v>7.8131726900921563E-4</v>
      </c>
      <c r="L151" s="3" cm="1">
        <f t="array" aca="1" ref="L151" ca="1">thm_D_eff(C151,qi,Di,bi,bf,telf,bterm,tterm)</f>
        <v>0.2220176065890731</v>
      </c>
      <c r="M151" cm="1">
        <f t="array" aca="1" ref="M151" ca="1">thm_b(C151,qi,Di,bi,bf,telf,bterm,tterm)</f>
        <v>1</v>
      </c>
      <c r="N151" cm="1">
        <f t="array" aca="1" ref="N151" ca="1">thm_monthly_vol(C151,qi,Di,bi,bf,telf,bterm,tterm)</f>
        <v>3.9037031034100664</v>
      </c>
      <c r="O151" cm="1">
        <f t="array" aca="1" ref="O151" ca="1">thm_cum($C151,qi,Di,bi,bf,telf,bterm,tterm)</f>
        <v>341.57106093535526</v>
      </c>
      <c r="Q151" cm="1">
        <f t="array" aca="1" ref="Q151" ca="1">thm_rate(C151,$F$3,$F$4,$F$5,$F$6,$F$7,$F$8,$F$9)</f>
        <v>126.72194658901476</v>
      </c>
    </row>
    <row r="152" spans="2:17" x14ac:dyDescent="0.25">
      <c r="B152" cm="1">
        <f t="array" ref="B152">B151+log_interval</f>
        <v>7.0804491609566842</v>
      </c>
      <c r="C152">
        <f t="shared" si="5"/>
        <v>1188.502227437011</v>
      </c>
      <c r="D152">
        <f ca="1"/>
        <v>120.46443133341067</v>
      </c>
      <c r="E152">
        <f ca="1"/>
        <v>7.4273591146308763E-4</v>
      </c>
      <c r="F152">
        <f ca="1"/>
        <v>1</v>
      </c>
      <c r="G152">
        <f ca="1"/>
        <v>349.78449148301172</v>
      </c>
      <c r="H152">
        <f t="shared" ca="1" si="6"/>
        <v>304.17356646223038</v>
      </c>
      <c r="J152" s="5" cm="1">
        <f t="array" aca="1" ref="J152" ca="1">thm_rate($C152,qi,Di,bi,bf,telf,bterm,tterm)</f>
        <v>120.46443133341067</v>
      </c>
      <c r="K152" s="5" cm="1">
        <f t="array" aca="1" ref="K152" ca="1">thm_D($C152,qi,Di,bi,bf,telf,bterm,tterm)</f>
        <v>7.4273591146308763E-4</v>
      </c>
      <c r="L152" s="3" cm="1">
        <f t="array" aca="1" ref="L152" ca="1">thm_D_eff(C152,qi,Di,bi,bf,telf,bterm,tterm)</f>
        <v>0.2133938832102259</v>
      </c>
      <c r="M152" cm="1">
        <f t="array" aca="1" ref="M152" ca="1">thm_b(C152,qi,Di,bi,bf,telf,bterm,tterm)</f>
        <v>1</v>
      </c>
      <c r="N152" cm="1">
        <f t="array" aca="1" ref="N152" ca="1">thm_monthly_vol(C152,qi,Di,bi,bf,telf,bterm,tterm)</f>
        <v>3.7087174261355358</v>
      </c>
      <c r="O152" cm="1">
        <f t="array" aca="1" ref="O152" ca="1">thm_cum($C152,qi,Di,bi,bf,telf,bterm,tterm)</f>
        <v>349.78449148301172</v>
      </c>
      <c r="Q152" cm="1">
        <f t="array" aca="1" ref="Q152" ca="1">thm_rate(C152,$F$3,$F$4,$F$5,$F$6,$F$7,$F$8,$F$9)</f>
        <v>120.46443133341063</v>
      </c>
    </row>
    <row r="153" spans="2:17" x14ac:dyDescent="0.25">
      <c r="B153" cm="1">
        <f t="array" ref="B153">B152+log_interval</f>
        <v>7.1380137882815351</v>
      </c>
      <c r="C153">
        <f t="shared" si="5"/>
        <v>1258.9254117941589</v>
      </c>
      <c r="D153">
        <f ca="1"/>
        <v>114.47663609341285</v>
      </c>
      <c r="E153">
        <f ca="1"/>
        <v>7.0581754057130828E-4</v>
      </c>
      <c r="F153">
        <f ca="1"/>
        <v>1</v>
      </c>
      <c r="G153">
        <f ca="1"/>
        <v>358.05355770872848</v>
      </c>
      <c r="H153">
        <f t="shared" ca="1" si="6"/>
        <v>311.36436944644674</v>
      </c>
      <c r="J153" s="5" cm="1">
        <f t="array" aca="1" ref="J153" ca="1">thm_rate($C153,qi,Di,bi,bf,telf,bterm,tterm)</f>
        <v>114.47663609341285</v>
      </c>
      <c r="K153" s="5" cm="1">
        <f t="array" aca="1" ref="K153" ca="1">thm_D($C153,qi,Di,bi,bf,telf,bterm,tterm)</f>
        <v>7.0581754057130828E-4</v>
      </c>
      <c r="L153" s="3" cm="1">
        <f t="array" aca="1" ref="L153" ca="1">thm_D_eff(C153,qi,Di,bi,bf,telf,bterm,tterm)</f>
        <v>0.20496095250904134</v>
      </c>
      <c r="M153" cm="1">
        <f t="array" aca="1" ref="M153" ca="1">thm_b(C153,qi,Di,bi,bf,telf,bterm,tterm)</f>
        <v>1</v>
      </c>
      <c r="N153" cm="1">
        <f t="array" aca="1" ref="N153" ca="1">thm_monthly_vol(C153,qi,Di,bi,bf,telf,bterm,tterm)</f>
        <v>3.5223555077632227</v>
      </c>
      <c r="O153" cm="1">
        <f t="array" aca="1" ref="O153" ca="1">thm_cum($C153,qi,Di,bi,bf,telf,bterm,tterm)</f>
        <v>358.05355770872848</v>
      </c>
      <c r="Q153" cm="1">
        <f t="array" aca="1" ref="Q153" ca="1">thm_rate(C153,$F$3,$F$4,$F$5,$F$6,$F$7,$F$8,$F$9)</f>
        <v>114.47663609341278</v>
      </c>
    </row>
    <row r="154" spans="2:17" x14ac:dyDescent="0.25">
      <c r="B154" cm="1">
        <f t="array" ref="B154">B153+log_interval</f>
        <v>7.195578415606386</v>
      </c>
      <c r="C154">
        <f t="shared" si="5"/>
        <v>1333.521432163315</v>
      </c>
      <c r="D154">
        <f ca="1"/>
        <v>108.75077927835952</v>
      </c>
      <c r="E154">
        <f ca="1"/>
        <v>6.7051417813177418E-4</v>
      </c>
      <c r="F154">
        <f ca="1"/>
        <v>1</v>
      </c>
      <c r="G154">
        <f ca="1"/>
        <v>366.37584366467604</v>
      </c>
      <c r="H154">
        <f t="shared" ca="1" si="6"/>
        <v>318.60145245606338</v>
      </c>
      <c r="J154" s="5" cm="1">
        <f t="array" aca="1" ref="J154" ca="1">thm_rate($C154,qi,Di,bi,bf,telf,bterm,tterm)</f>
        <v>108.75077927835952</v>
      </c>
      <c r="K154" s="5" cm="1">
        <f t="array" aca="1" ref="K154" ca="1">thm_D($C154,qi,Di,bi,bf,telf,bterm,tterm)</f>
        <v>6.7051417813177418E-4</v>
      </c>
      <c r="L154" s="3" cm="1">
        <f t="array" aca="1" ref="L154" ca="1">thm_D_eff(C154,qi,Di,bi,bf,telf,bterm,tterm)</f>
        <v>0.19672605045682456</v>
      </c>
      <c r="M154" cm="1">
        <f t="array" aca="1" ref="M154" ca="1">thm_b(C154,qi,Di,bi,bf,telf,bterm,tterm)</f>
        <v>1</v>
      </c>
      <c r="N154" cm="1">
        <f t="array" aca="1" ref="N154" ca="1">thm_monthly_vol(C154,qi,Di,bi,bf,telf,bterm,tterm)</f>
        <v>3.3443461304370885</v>
      </c>
      <c r="O154" cm="1">
        <f t="array" aca="1" ref="O154" ca="1">thm_cum($C154,qi,Di,bi,bf,telf,bterm,tterm)</f>
        <v>366.37584366467604</v>
      </c>
      <c r="Q154" cm="1">
        <f t="array" aca="1" ref="Q154" ca="1">thm_rate(C154,$F$3,$F$4,$F$5,$F$6,$F$7,$F$8,$F$9)</f>
        <v>108.75077927835946</v>
      </c>
    </row>
    <row r="155" spans="2:17" x14ac:dyDescent="0.25">
      <c r="B155" cm="1">
        <f t="array" ref="B155">B154+log_interval</f>
        <v>7.2531430429312369</v>
      </c>
      <c r="C155">
        <f t="shared" si="5"/>
        <v>1412.5375446227445</v>
      </c>
      <c r="D155">
        <f ca="1"/>
        <v>103.27891530671189</v>
      </c>
      <c r="E155">
        <f ca="1"/>
        <v>6.3677683483966726E-4</v>
      </c>
      <c r="F155">
        <f ca="1"/>
        <v>1</v>
      </c>
      <c r="G155">
        <f ca="1"/>
        <v>374.74900490441917</v>
      </c>
      <c r="H155">
        <f t="shared" ca="1" si="6"/>
        <v>325.8827767539409</v>
      </c>
      <c r="J155" s="5" cm="1">
        <f t="array" aca="1" ref="J155" ca="1">thm_rate($C155,qi,Di,bi,bf,telf,bterm,tterm)</f>
        <v>103.27891530671189</v>
      </c>
      <c r="K155" s="5" cm="1">
        <f t="array" aca="1" ref="K155" ca="1">thm_D($C155,qi,Di,bi,bf,telf,bterm,tterm)</f>
        <v>6.3677683483966726E-4</v>
      </c>
      <c r="L155" s="3" cm="1">
        <f t="array" aca="1" ref="L155" ca="1">thm_D_eff(C155,qi,Di,bi,bf,telf,bterm,tterm)</f>
        <v>0.18869543729616112</v>
      </c>
      <c r="M155" cm="1">
        <f t="array" aca="1" ref="M155" ca="1">thm_b(C155,qi,Di,bi,bf,telf,bterm,tterm)</f>
        <v>1</v>
      </c>
      <c r="N155" cm="1">
        <f t="array" aca="1" ref="N155" ca="1">thm_monthly_vol(C155,qi,Di,bi,bf,telf,bterm,tterm)</f>
        <v>3.1744154272809055</v>
      </c>
      <c r="O155" cm="1">
        <f t="array" aca="1" ref="O155" ca="1">thm_cum($C155,qi,Di,bi,bf,telf,bterm,tterm)</f>
        <v>374.74900490441917</v>
      </c>
      <c r="Q155" cm="1">
        <f t="array" aca="1" ref="Q155" ca="1">thm_rate(C155,$F$3,$F$4,$F$5,$F$6,$F$7,$F$8,$F$9)</f>
        <v>103.27891530671185</v>
      </c>
    </row>
    <row r="156" spans="2:17" x14ac:dyDescent="0.25">
      <c r="B156" cm="1">
        <f t="array" ref="B156">B155+log_interval</f>
        <v>7.3107076702560878</v>
      </c>
      <c r="C156">
        <f t="shared" si="5"/>
        <v>1496.2356560944227</v>
      </c>
      <c r="D156">
        <f ca="1"/>
        <v>98.052983624032095</v>
      </c>
      <c r="E156">
        <f ca="1"/>
        <v>6.0455581251286797E-4</v>
      </c>
      <c r="F156">
        <f ca="1"/>
        <v>1</v>
      </c>
      <c r="G156">
        <f ca="1"/>
        <v>383.17076974743054</v>
      </c>
      <c r="H156">
        <f t="shared" ca="1" si="6"/>
        <v>333.2063668803757</v>
      </c>
      <c r="J156" s="5" cm="1">
        <f t="array" aca="1" ref="J156" ca="1">thm_rate($C156,qi,Di,bi,bf,telf,bterm,tterm)</f>
        <v>98.052983624032095</v>
      </c>
      <c r="K156" s="5" cm="1">
        <f t="array" aca="1" ref="K156" ca="1">thm_D($C156,qi,Di,bi,bf,telf,bterm,tterm)</f>
        <v>6.0455581251286797E-4</v>
      </c>
      <c r="L156" s="3" cm="1">
        <f t="array" aca="1" ref="L156" ca="1">thm_D_eff(C156,qi,Di,bi,bf,telf,bterm,tterm)</f>
        <v>0.18087440725406778</v>
      </c>
      <c r="M156" cm="1">
        <f t="array" aca="1" ref="M156" ca="1">thm_b(C156,qi,Di,bi,bf,telf,bterm,tterm)</f>
        <v>1</v>
      </c>
      <c r="N156" cm="1">
        <f t="array" aca="1" ref="N156" ca="1">thm_monthly_vol(C156,qi,Di,bi,bf,telf,bterm,tterm)</f>
        <v>3.0122882885400486</v>
      </c>
      <c r="O156" cm="1">
        <f t="array" aca="1" ref="O156" ca="1">thm_cum($C156,qi,Di,bi,bf,telf,bterm,tterm)</f>
        <v>383.17076974743054</v>
      </c>
      <c r="Q156" cm="1">
        <f t="array" aca="1" ref="Q156" ca="1">thm_rate(C156,$F$3,$F$4,$F$5,$F$6,$F$7,$F$8,$F$9)</f>
        <v>98.052983624032052</v>
      </c>
    </row>
    <row r="157" spans="2:17" x14ac:dyDescent="0.25">
      <c r="B157" cm="1">
        <f t="array" ref="B157">B156+log_interval</f>
        <v>7.3682722975809387</v>
      </c>
      <c r="C157">
        <f t="shared" si="5"/>
        <v>1584.8931924611015</v>
      </c>
      <c r="D157">
        <f ca="1"/>
        <v>93.064853677962887</v>
      </c>
      <c r="E157">
        <f ca="1"/>
        <v>5.73800981389845E-4</v>
      </c>
      <c r="F157">
        <f ca="1"/>
        <v>1</v>
      </c>
      <c r="G157">
        <f ca="1"/>
        <v>391.63894011653178</v>
      </c>
      <c r="H157">
        <f t="shared" ca="1" si="6"/>
        <v>340.57031138134107</v>
      </c>
      <c r="J157" s="5" cm="1">
        <f t="array" aca="1" ref="J157" ca="1">thm_rate($C157,qi,Di,bi,bf,telf,bterm,tterm)</f>
        <v>93.064853677962887</v>
      </c>
      <c r="K157" s="5" cm="1">
        <f t="array" aca="1" ref="K157" ca="1">thm_D($C157,qi,Di,bi,bf,telf,bterm,tterm)</f>
        <v>5.73800981389845E-4</v>
      </c>
      <c r="L157" s="3" cm="1">
        <f t="array" aca="1" ref="L157" ca="1">thm_D_eff(C157,qi,Di,bi,bf,telf,bterm,tterm)</f>
        <v>0.17326730631643184</v>
      </c>
      <c r="M157" cm="1">
        <f t="array" aca="1" ref="M157" ca="1">thm_b(C157,qi,Di,bi,bf,telf,bterm,tterm)</f>
        <v>1</v>
      </c>
      <c r="N157" cm="1">
        <f t="array" aca="1" ref="N157" ca="1">thm_monthly_vol(C157,qi,Di,bi,bf,telf,bterm,tterm)</f>
        <v>2.8576896360166302</v>
      </c>
      <c r="O157" cm="1">
        <f t="array" aca="1" ref="O157" ca="1">thm_cum($C157,qi,Di,bi,bf,telf,bterm,tterm)</f>
        <v>391.63894011653178</v>
      </c>
      <c r="Q157" cm="1">
        <f t="array" aca="1" ref="Q157" ca="1">thm_rate(C157,$F$3,$F$4,$F$5,$F$6,$F$7,$F$8,$F$9)</f>
        <v>93.06485367796283</v>
      </c>
    </row>
    <row r="158" spans="2:17" x14ac:dyDescent="0.25">
      <c r="B158" cm="1">
        <f t="array" ref="B158">B157+log_interval</f>
        <v>7.4258369249057896</v>
      </c>
      <c r="C158">
        <f t="shared" si="5"/>
        <v>1678.8040181225474</v>
      </c>
      <c r="D158">
        <f ca="1"/>
        <v>88.306365901398124</v>
      </c>
      <c r="E158">
        <f ca="1"/>
        <v>5.4446203281563162E-4</v>
      </c>
      <c r="F158">
        <f ca="1"/>
        <v>1</v>
      </c>
      <c r="G158">
        <f ca="1"/>
        <v>400.15139198480369</v>
      </c>
      <c r="H158">
        <f t="shared" ca="1" si="6"/>
        <v>347.97276319712176</v>
      </c>
      <c r="J158" s="5" cm="1">
        <f t="array" aca="1" ref="J158" ca="1">thm_rate($C158,qi,Di,bi,bf,telf,bterm,tterm)</f>
        <v>88.306365901398124</v>
      </c>
      <c r="K158" s="5" cm="1">
        <f t="array" aca="1" ref="K158" ca="1">thm_D($C158,qi,Di,bi,bf,telf,bterm,tterm)</f>
        <v>5.4446203281563162E-4</v>
      </c>
      <c r="L158" s="3" cm="1">
        <f t="array" aca="1" ref="L158" ca="1">thm_D_eff(C158,qi,Di,bi,bf,telf,bterm,tterm)</f>
        <v>0.16587755728422671</v>
      </c>
      <c r="M158" cm="1">
        <f t="array" aca="1" ref="M158" ca="1">thm_b(C158,qi,Di,bi,bf,telf,bterm,tterm)</f>
        <v>1</v>
      </c>
      <c r="N158" cm="1">
        <f t="array" aca="1" ref="N158" ca="1">thm_monthly_vol(C158,qi,Di,bi,bf,telf,bterm,tterm)</f>
        <v>2.7103455697506433</v>
      </c>
      <c r="O158" cm="1">
        <f t="array" aca="1" ref="O158" ca="1">thm_cum($C158,qi,Di,bi,bf,telf,bterm,tterm)</f>
        <v>400.15139198480369</v>
      </c>
      <c r="Q158" cm="1">
        <f t="array" aca="1" ref="Q158" ca="1">thm_rate(C158,$F$3,$F$4,$F$5,$F$6,$F$7,$F$8,$F$9)</f>
        <v>88.306365901398081</v>
      </c>
    </row>
    <row r="159" spans="2:17" x14ac:dyDescent="0.25">
      <c r="B159" cm="1">
        <f t="array" ref="B159">B158+log_interval</f>
        <v>7.4834015522306405</v>
      </c>
      <c r="C159">
        <f>EXP(B159)</f>
        <v>1778.2794100389087</v>
      </c>
      <c r="D159">
        <f ca="1"/>
        <v>83.769368795608131</v>
      </c>
      <c r="E159">
        <f ca="1"/>
        <v>5.1648870788167066E-4</v>
      </c>
      <c r="F159">
        <f ca="1"/>
        <v>1</v>
      </c>
      <c r="G159">
        <f ca="1"/>
        <v>408.7060754678547</v>
      </c>
      <c r="H159">
        <f t="shared" ref="H159:H222" ca="1" si="7">$I$3*G159</f>
        <v>355.41193974255054</v>
      </c>
      <c r="J159" s="5" cm="1">
        <f t="array" aca="1" ref="J159" ca="1">thm_rate($C159,qi,Di,bi,bf,telf,bterm,tterm)</f>
        <v>83.769368795608131</v>
      </c>
      <c r="K159" s="5" cm="1">
        <f t="array" aca="1" ref="K159" ca="1">thm_D($C159,qi,Di,bi,bf,telf,bterm,tterm)</f>
        <v>5.1648870788167066E-4</v>
      </c>
      <c r="L159" s="3" cm="1">
        <f t="array" aca="1" ref="L159" ca="1">thm_D_eff(C159,qi,Di,bi,bf,telf,bterm,tterm)</f>
        <v>0.15870769127591744</v>
      </c>
      <c r="M159" cm="1">
        <f t="array" aca="1" ref="M159" ca="1">thm_b(C159,qi,Di,bi,bf,telf,bterm,tterm)</f>
        <v>1</v>
      </c>
      <c r="N159" cm="1">
        <f t="array" aca="1" ref="N159" ca="1">thm_monthly_vol(C159,qi,Di,bi,bf,telf,bterm,tterm)</f>
        <v>2.569984391849971</v>
      </c>
      <c r="O159" cm="1">
        <f t="array" aca="1" ref="O159" ca="1">thm_cum($C159,qi,Di,bi,bf,telf,bterm,tterm)</f>
        <v>408.7060754678547</v>
      </c>
      <c r="Q159" cm="1">
        <f t="array" aca="1" ref="Q159" ca="1">thm_rate(C159,$F$3,$F$4,$F$5,$F$6,$F$7,$F$8,$F$9)</f>
        <v>83.769368795608088</v>
      </c>
    </row>
    <row r="160" spans="2:17" x14ac:dyDescent="0.25">
      <c r="B160" cm="1">
        <f t="array" ref="B160">B159+log_interval</f>
        <v>7.5409661795554914</v>
      </c>
      <c r="C160">
        <f t="shared" ref="C160:C229" si="8">EXP(B160)</f>
        <v>1883.6490894897852</v>
      </c>
      <c r="D160">
        <f ca="1"/>
        <v>79.445752238461864</v>
      </c>
      <c r="E160">
        <f ca="1"/>
        <v>4.8983100279110354E-4</v>
      </c>
      <c r="F160">
        <f ca="1"/>
        <v>1</v>
      </c>
      <c r="G160">
        <f ca="1"/>
        <v>417.30101459634227</v>
      </c>
      <c r="H160">
        <f t="shared" ca="1" si="7"/>
        <v>362.88612270919253</v>
      </c>
      <c r="J160" s="5" cm="1">
        <f t="array" aca="1" ref="J160" ca="1">thm_rate($C160,qi,Di,bi,bf,telf,bterm,tterm)</f>
        <v>79.445752238461864</v>
      </c>
      <c r="K160" s="5" cm="1">
        <f t="array" aca="1" ref="K160" ca="1">thm_D($C160,qi,Di,bi,bf,telf,bterm,tterm)</f>
        <v>4.8983100279110354E-4</v>
      </c>
      <c r="L160" s="3" cm="1">
        <f t="array" aca="1" ref="L160" ca="1">thm_D_eff(C160,qi,Di,bi,bf,telf,bterm,tterm)</f>
        <v>0.15175938480687656</v>
      </c>
      <c r="M160" cm="1">
        <f t="array" aca="1" ref="M160" ca="1">thm_b(C160,qi,Di,bi,bf,telf,bterm,tterm)</f>
        <v>1</v>
      </c>
      <c r="N160" cm="1">
        <f t="array" aca="1" ref="N160" ca="1">thm_monthly_vol(C160,qi,Di,bi,bf,telf,bterm,tterm)</f>
        <v>2.4363375131071052</v>
      </c>
      <c r="O160" cm="1">
        <f t="array" aca="1" ref="O160" ca="1">thm_cum($C160,qi,Di,bi,bf,telf,bterm,tterm)</f>
        <v>417.30101459634227</v>
      </c>
      <c r="Q160" cm="1">
        <f t="array" aca="1" ref="Q160" ca="1">thm_rate(C160,$F$3,$F$4,$F$5,$F$6,$F$7,$F$8,$F$9)</f>
        <v>79.445752238461822</v>
      </c>
    </row>
    <row r="161" spans="2:17" x14ac:dyDescent="0.25">
      <c r="B161" cm="1">
        <f t="array" ref="B161">B160+log_interval</f>
        <v>7.5985308068803423</v>
      </c>
      <c r="C161">
        <f t="shared" si="8"/>
        <v>1995.2623149688627</v>
      </c>
      <c r="D161">
        <f ca="1"/>
        <v>75.327477169601451</v>
      </c>
      <c r="E161">
        <f ca="1"/>
        <v>4.6443935188578454E-4</v>
      </c>
      <c r="F161">
        <f ca="1"/>
        <v>1</v>
      </c>
      <c r="G161">
        <f ca="1"/>
        <v>425.93430680238407</v>
      </c>
      <c r="H161">
        <f t="shared" ca="1" si="7"/>
        <v>370.39365761872654</v>
      </c>
      <c r="J161" s="5" cm="1">
        <f t="array" aca="1" ref="J161" ca="1">thm_rate($C161,qi,Di,bi,bf,telf,bterm,tterm)</f>
        <v>75.327477169601451</v>
      </c>
      <c r="K161" s="5" cm="1">
        <f t="array" aca="1" ref="K161" ca="1">thm_D($C161,qi,Di,bi,bf,telf,bterm,tterm)</f>
        <v>4.6443935188578454E-4</v>
      </c>
      <c r="L161" s="3" cm="1">
        <f t="array" aca="1" ref="L161" ca="1">thm_D_eff(C161,qi,Di,bi,bf,telf,bterm,tterm)</f>
        <v>0.14503350156404748</v>
      </c>
      <c r="M161" cm="1">
        <f t="array" aca="1" ref="M161" ca="1">thm_b(C161,qi,Di,bi,bf,telf,bterm,tterm)</f>
        <v>1</v>
      </c>
      <c r="N161" cm="1">
        <f t="array" aca="1" ref="N161" ca="1">thm_monthly_vol(C161,qi,Di,bi,bf,telf,bterm,tterm)</f>
        <v>2.3091402485915751</v>
      </c>
      <c r="O161" cm="1">
        <f t="array" aca="1" ref="O161" ca="1">thm_cum($C161,qi,Di,bi,bf,telf,bterm,tterm)</f>
        <v>425.93430680238407</v>
      </c>
      <c r="Q161" cm="1">
        <f t="array" aca="1" ref="Q161" ca="1">thm_rate(C161,$F$3,$F$4,$F$5,$F$6,$F$7,$F$8,$F$9)</f>
        <v>75.327477169601408</v>
      </c>
    </row>
    <row r="162" spans="2:17" x14ac:dyDescent="0.25">
      <c r="B162" cm="1">
        <f t="array" ref="B162">B161+log_interval</f>
        <v>7.6560954342051932</v>
      </c>
      <c r="C162">
        <f t="shared" si="8"/>
        <v>2113.4890398366283</v>
      </c>
      <c r="D162">
        <f ca="1"/>
        <v>71.406601825058218</v>
      </c>
      <c r="E162">
        <f ca="1"/>
        <v>4.4026478939851888E-4</v>
      </c>
      <c r="F162">
        <f ca="1"/>
        <v>1</v>
      </c>
      <c r="G162">
        <f ca="1"/>
        <v>434.60412215200995</v>
      </c>
      <c r="H162">
        <f t="shared" ca="1" si="7"/>
        <v>377.93295315548352</v>
      </c>
      <c r="J162" s="5" cm="1">
        <f t="array" aca="1" ref="J162" ca="1">thm_rate($C162,qi,Di,bi,bf,telf,bterm,tterm)</f>
        <v>71.406601825058218</v>
      </c>
      <c r="K162" s="5" cm="1">
        <f t="array" aca="1" ref="K162" ca="1">thm_D($C162,qi,Di,bi,bf,telf,bterm,tterm)</f>
        <v>4.4026478939851888E-4</v>
      </c>
      <c r="L162" s="3" cm="1">
        <f t="array" aca="1" ref="L162" ca="1">thm_D_eff(C162,qi,Di,bi,bf,telf,bterm,tterm)</f>
        <v>0.13853013800056091</v>
      </c>
      <c r="M162" cm="1">
        <f t="array" aca="1" ref="M162" ca="1">thm_b(C162,qi,Di,bi,bf,telf,bterm,tterm)</f>
        <v>1</v>
      </c>
      <c r="N162" cm="1">
        <f t="array" aca="1" ref="N162" ca="1">thm_monthly_vol(C162,qi,Di,bi,bf,telf,bterm,tterm)</f>
        <v>2.1881325087866799</v>
      </c>
      <c r="O162" cm="1">
        <f t="array" aca="1" ref="O162" ca="1">thm_cum($C162,qi,Di,bi,bf,telf,bterm,tterm)</f>
        <v>434.60412215200995</v>
      </c>
      <c r="Q162" cm="1">
        <f t="array" aca="1" ref="Q162" ca="1">thm_rate(C162,$F$3,$F$4,$F$5,$F$6,$F$7,$F$8,$F$9)</f>
        <v>71.406601825058189</v>
      </c>
    </row>
    <row r="163" spans="2:17" x14ac:dyDescent="0.25">
      <c r="B163" cm="1">
        <f t="array" ref="B163">B162+log_interval</f>
        <v>7.7136600615300441</v>
      </c>
      <c r="C163">
        <f t="shared" si="8"/>
        <v>2238.7211385683195</v>
      </c>
      <c r="D163">
        <f ca="1"/>
        <v>67.675304708969463</v>
      </c>
      <c r="E163">
        <f ca="1"/>
        <v>4.1725909108755911E-4</v>
      </c>
      <c r="F163">
        <f ca="1"/>
        <v>1</v>
      </c>
      <c r="G163">
        <f ca="1"/>
        <v>443.30870235417376</v>
      </c>
      <c r="H163">
        <f t="shared" ca="1" si="7"/>
        <v>385.50248030468043</v>
      </c>
      <c r="J163" s="5" cm="1">
        <f t="array" aca="1" ref="J163" ca="1">thm_rate($C163,qi,Di,bi,bf,telf,bterm,tterm)</f>
        <v>67.675304708969463</v>
      </c>
      <c r="K163" s="5" cm="1">
        <f t="array" aca="1" ref="K163" ca="1">thm_D($C163,qi,Di,bi,bf,telf,bterm,tterm)</f>
        <v>4.1725909108755911E-4</v>
      </c>
      <c r="L163" s="3" cm="1">
        <f t="array" aca="1" ref="L163" ca="1">thm_D_eff(C163,qi,Di,bi,bf,telf,bterm,tterm)</f>
        <v>0.13224867189823719</v>
      </c>
      <c r="M163" cm="1">
        <f t="array" aca="1" ref="M163" ca="1">thm_b(C163,qi,Di,bi,bf,telf,bterm,tterm)</f>
        <v>1</v>
      </c>
      <c r="N163" cm="1">
        <f t="array" aca="1" ref="N163" ca="1">thm_monthly_vol(C163,qi,Di,bi,bf,telf,bterm,tterm)</f>
        <v>2.0730593930803707</v>
      </c>
      <c r="O163" cm="1">
        <f t="array" aca="1" ref="O163" ca="1">thm_cum($C163,qi,Di,bi,bf,telf,bterm,tterm)</f>
        <v>443.30870235417376</v>
      </c>
      <c r="Q163" cm="1">
        <f t="array" aca="1" ref="Q163" ca="1">thm_rate(C163,$F$3,$F$4,$F$5,$F$6,$F$7,$F$8,$F$9)</f>
        <v>67.675304708969435</v>
      </c>
    </row>
    <row r="164" spans="2:17" x14ac:dyDescent="0.25">
      <c r="B164" cm="1">
        <f t="array" ref="B164">B163+log_interval</f>
        <v>7.771224688854895</v>
      </c>
      <c r="C164">
        <f t="shared" si="8"/>
        <v>2371.3737056616337</v>
      </c>
      <c r="D164">
        <f ca="1"/>
        <v>64.125904500383044</v>
      </c>
      <c r="E164">
        <f ca="1"/>
        <v>3.9537489697406782E-4</v>
      </c>
      <c r="F164">
        <f ca="1"/>
        <v>1</v>
      </c>
      <c r="G164">
        <f ca="1"/>
        <v>452.04635957508071</v>
      </c>
      <c r="H164">
        <f t="shared" ca="1" si="7"/>
        <v>393.10077132135581</v>
      </c>
      <c r="J164" s="5" cm="1">
        <f t="array" aca="1" ref="J164" ca="1">thm_rate($C164,qi,Di,bi,bf,telf,bterm,tterm)</f>
        <v>64.125904500383044</v>
      </c>
      <c r="K164" s="5" cm="1">
        <f t="array" aca="1" ref="K164" ca="1">thm_D($C164,qi,Di,bi,bf,telf,bterm,tterm)</f>
        <v>3.9537489697406782E-4</v>
      </c>
      <c r="L164" s="3" cm="1">
        <f t="array" aca="1" ref="L164" ca="1">thm_D_eff(C164,qi,Di,bi,bf,telf,bterm,tterm)</f>
        <v>0.12618781308339055</v>
      </c>
      <c r="M164" cm="1">
        <f t="array" aca="1" ref="M164" ca="1">thm_b(C164,qi,Di,bi,bf,telf,bterm,tterm)</f>
        <v>1</v>
      </c>
      <c r="N164" cm="1">
        <f t="array" aca="1" ref="N164" ca="1">thm_monthly_vol(C164,qi,Di,bi,bf,telf,bterm,tterm)</f>
        <v>1.963671692525395</v>
      </c>
      <c r="O164" cm="1">
        <f t="array" aca="1" ref="O164" ca="1">thm_cum($C164,qi,Di,bi,bf,telf,bterm,tterm)</f>
        <v>452.04635957508071</v>
      </c>
      <c r="Q164" cm="1">
        <f t="array" aca="1" ref="Q164" ca="1">thm_rate(C164,$F$3,$F$4,$F$5,$F$6,$F$7,$F$8,$F$9)</f>
        <v>64.125904500383015</v>
      </c>
    </row>
    <row r="165" spans="2:17" x14ac:dyDescent="0.25">
      <c r="B165" cm="1">
        <f t="array" ref="B165">B164+log_interval</f>
        <v>7.8287893161797459</v>
      </c>
      <c r="C165">
        <f t="shared" si="8"/>
        <v>2511.8864315095566</v>
      </c>
      <c r="D165">
        <f ca="1"/>
        <v>60.750877099236277</v>
      </c>
      <c r="E165">
        <f ca="1"/>
        <v>3.7456581644086315E-4</v>
      </c>
      <c r="F165">
        <f ca="1"/>
        <v>1</v>
      </c>
      <c r="G165">
        <f ca="1"/>
        <v>460.8154750847616</v>
      </c>
      <c r="H165">
        <f t="shared" ca="1" si="7"/>
        <v>400.7264185534271</v>
      </c>
      <c r="J165" s="5" cm="1">
        <f t="array" aca="1" ref="J165" ca="1">thm_rate($C165,qi,Di,bi,bf,telf,bterm,tterm)</f>
        <v>60.750877099236277</v>
      </c>
      <c r="K165" s="5" cm="1">
        <f t="array" aca="1" ref="K165" ca="1">thm_D($C165,qi,Di,bi,bf,telf,bterm,tterm)</f>
        <v>3.7456581644086315E-4</v>
      </c>
      <c r="L165" s="3" cm="1">
        <f t="array" aca="1" ref="L165" ca="1">thm_D_eff(C165,qi,Di,bi,bf,telf,bterm,tterm)</f>
        <v>0.12034565553045573</v>
      </c>
      <c r="M165" cm="1">
        <f t="array" aca="1" ref="M165" ca="1">thm_b(C165,qi,Di,bi,bf,telf,bterm,tterm)</f>
        <v>1</v>
      </c>
      <c r="N165" cm="1">
        <f t="array" aca="1" ref="N165" ca="1">thm_monthly_vol(C165,qi,Di,bi,bf,telf,bterm,tterm)</f>
        <v>1.859726308790755</v>
      </c>
      <c r="O165" cm="1">
        <f t="array" aca="1" ref="O165" ca="1">thm_cum($C165,qi,Di,bi,bf,telf,bterm,tterm)</f>
        <v>460.8154750847616</v>
      </c>
      <c r="Q165" cm="1">
        <f t="array" aca="1" ref="Q165" ca="1">thm_rate(C165,$F$3,$F$4,$F$5,$F$6,$F$7,$F$8,$F$9)</f>
        <v>60.750877099236241</v>
      </c>
    </row>
    <row r="166" spans="2:17" x14ac:dyDescent="0.25">
      <c r="B166" cm="1">
        <f t="array" ref="B166">B165+log_interval</f>
        <v>7.8863539435045968</v>
      </c>
      <c r="C166">
        <f t="shared" si="8"/>
        <v>2660.7250597987841</v>
      </c>
      <c r="D166">
        <f ca="1"/>
        <v>57.542870018054145</v>
      </c>
      <c r="E166">
        <f ca="1"/>
        <v>3.5478651696592336E-4</v>
      </c>
      <c r="F166">
        <f ca="1"/>
        <v>1</v>
      </c>
      <c r="G166">
        <f ca="1"/>
        <v>469.61449776095355</v>
      </c>
      <c r="H166">
        <f t="shared" ca="1" si="7"/>
        <v>408.37807314066123</v>
      </c>
      <c r="J166" s="5" cm="1">
        <f t="array" aca="1" ref="J166" ca="1">thm_rate($C166,qi,Di,bi,bf,telf,bterm,tterm)</f>
        <v>57.542870018054145</v>
      </c>
      <c r="K166" s="5" cm="1">
        <f t="array" aca="1" ref="K166" ca="1">thm_D($C166,qi,Di,bi,bf,telf,bterm,tterm)</f>
        <v>3.5478651696592336E-4</v>
      </c>
      <c r="L166" s="3" cm="1">
        <f t="array" aca="1" ref="L166" ca="1">thm_D_eff(C166,qi,Di,bi,bf,telf,bterm,tterm)</f>
        <v>0.11471973014611159</v>
      </c>
      <c r="M166" cm="1">
        <f t="array" aca="1" ref="M166" ca="1">thm_b(C166,qi,Di,bi,bf,telf,bterm,tterm)</f>
        <v>1</v>
      </c>
      <c r="N166" cm="1">
        <f t="array" aca="1" ref="N166" ca="1">thm_monthly_vol(C166,qi,Di,bi,bf,telf,bterm,tterm)</f>
        <v>1.7609865961353535</v>
      </c>
      <c r="O166" cm="1">
        <f t="array" aca="1" ref="O166" ca="1">thm_cum($C166,qi,Di,bi,bf,telf,bterm,tterm)</f>
        <v>469.61449776095355</v>
      </c>
      <c r="Q166" cm="1">
        <f t="array" aca="1" ref="Q166" ca="1">thm_rate(C166,$F$3,$F$4,$F$5,$F$6,$F$7,$F$8,$F$9)</f>
        <v>57.542870018054117</v>
      </c>
    </row>
    <row r="167" spans="2:17" x14ac:dyDescent="0.25">
      <c r="B167" cm="1">
        <f t="array" ref="B167">B166+log_interval</f>
        <v>7.9439185708294477</v>
      </c>
      <c r="C167">
        <f t="shared" si="8"/>
        <v>2818.3829312644261</v>
      </c>
      <c r="D167">
        <f ca="1"/>
        <v>54.494714325291341</v>
      </c>
      <c r="E167">
        <f ca="1"/>
        <v>3.3599279776029697E-4</v>
      </c>
      <c r="F167">
        <f ca="1"/>
        <v>1</v>
      </c>
      <c r="G167">
        <f ca="1"/>
        <v>478.44194247347264</v>
      </c>
      <c r="H167">
        <f t="shared" ca="1" si="7"/>
        <v>416.05444360972047</v>
      </c>
      <c r="J167" s="5" cm="1">
        <f t="array" aca="1" ref="J167" ca="1">thm_rate($C167,qi,Di,bi,bf,telf,bterm,tterm)</f>
        <v>54.494714325291341</v>
      </c>
      <c r="K167" s="5" cm="1">
        <f t="array" aca="1" ref="K167" ca="1">thm_D($C167,qi,Di,bi,bf,telf,bterm,tterm)</f>
        <v>3.3599279776029697E-4</v>
      </c>
      <c r="L167" s="3" cm="1">
        <f t="array" aca="1" ref="L167" ca="1">thm_D_eff(C167,qi,Di,bi,bf,telf,bterm,tterm)</f>
        <v>0.10930705759123993</v>
      </c>
      <c r="M167" cm="1">
        <f t="array" aca="1" ref="M167" ca="1">thm_b(C167,qi,Di,bi,bf,telf,bterm,tterm)</f>
        <v>1</v>
      </c>
      <c r="N167" cm="1">
        <f t="array" aca="1" ref="N167" ca="1">thm_monthly_vol(C167,qi,Di,bi,bf,telf,bterm,tterm)</f>
        <v>1.6672226330781541</v>
      </c>
      <c r="O167" cm="1">
        <f t="array" aca="1" ref="O167" ca="1">thm_cum($C167,qi,Di,bi,bf,telf,bterm,tterm)</f>
        <v>478.44194247347264</v>
      </c>
      <c r="Q167" cm="1">
        <f t="array" aca="1" ref="Q167" ca="1">thm_rate(C167,$F$3,$F$4,$F$5,$F$6,$F$7,$F$8,$F$9)</f>
        <v>54.494714325291319</v>
      </c>
    </row>
    <row r="168" spans="2:17" x14ac:dyDescent="0.25">
      <c r="B168" cm="1">
        <f t="array" ref="B168">B167+log_interval</f>
        <v>8.0014831981542986</v>
      </c>
      <c r="C168">
        <f t="shared" si="8"/>
        <v>2985.3826189179294</v>
      </c>
      <c r="D168">
        <f ca="1"/>
        <v>51.599434343056544</v>
      </c>
      <c r="E168">
        <f ca="1"/>
        <v>3.1814164956042517E-4</v>
      </c>
      <c r="F168">
        <f ca="1"/>
        <v>1</v>
      </c>
      <c r="G168">
        <f ca="1"/>
        <v>487.29638837040216</v>
      </c>
      <c r="H168">
        <f t="shared" ca="1" si="7"/>
        <v>423.75429438382696</v>
      </c>
      <c r="J168" s="5" cm="1">
        <f t="array" aca="1" ref="J168" ca="1">thm_rate($C168,qi,Di,bi,bf,telf,bterm,tterm)</f>
        <v>51.599434343056544</v>
      </c>
      <c r="K168" s="5" cm="1">
        <f t="array" aca="1" ref="K168" ca="1">thm_D($C168,qi,Di,bi,bf,telf,bterm,tterm)</f>
        <v>3.1814164956042517E-4</v>
      </c>
      <c r="L168" s="3" cm="1">
        <f t="array" aca="1" ref="L168" ca="1">thm_D_eff(C168,qi,Di,bi,bf,telf,bterm,tterm)</f>
        <v>0.1041042005669186</v>
      </c>
      <c r="M168" cm="1">
        <f t="array" aca="1" ref="M168" ca="1">thm_b(C168,qi,Di,bi,bf,telf,bterm,tterm)</f>
        <v>1</v>
      </c>
      <c r="N168" cm="1">
        <f t="array" aca="1" ref="N168" ca="1">thm_monthly_vol(C168,qi,Di,bi,bf,telf,bterm,tterm)</f>
        <v>1.5782114302140826</v>
      </c>
      <c r="O168" cm="1">
        <f t="array" aca="1" ref="O168" ca="1">thm_cum($C168,qi,Di,bi,bf,telf,bterm,tterm)</f>
        <v>487.29638837040216</v>
      </c>
      <c r="Q168" cm="1">
        <f t="array" aca="1" ref="Q168" ca="1">thm_rate(C168,$F$3,$F$4,$F$5,$F$6,$F$7,$F$8,$F$9)</f>
        <v>51.599434343056522</v>
      </c>
    </row>
    <row r="169" spans="2:17" x14ac:dyDescent="0.25">
      <c r="B169" cm="1">
        <f t="array" ref="B169">B168+log_interval</f>
        <v>8.0590478254791496</v>
      </c>
      <c r="C169">
        <f t="shared" si="8"/>
        <v>3162.2776601683468</v>
      </c>
      <c r="D169">
        <f ca="1"/>
        <v>48.850255296683883</v>
      </c>
      <c r="E169">
        <f ca="1"/>
        <v>3.0119130179236581E-4</v>
      </c>
      <c r="F169">
        <f ca="1"/>
        <v>1</v>
      </c>
      <c r="G169">
        <f ca="1"/>
        <v>496.17647708560469</v>
      </c>
      <c r="H169">
        <f t="shared" ca="1" si="7"/>
        <v>431.47644422401032</v>
      </c>
      <c r="J169" s="5" cm="1">
        <f t="array" aca="1" ref="J169" ca="1">thm_rate($C169,qi,Di,bi,bf,telf,bterm,tterm)</f>
        <v>48.850255296683883</v>
      </c>
      <c r="K169" s="5" cm="1">
        <f t="array" aca="1" ref="K169" ca="1">thm_D($C169,qi,Di,bi,bf,telf,bterm,tterm)</f>
        <v>3.0119130179236581E-4</v>
      </c>
      <c r="L169" s="3" cm="1">
        <f t="array" aca="1" ref="L169" ca="1">thm_D_eff(C169,qi,Di,bi,bf,telf,bterm,tterm)</f>
        <v>9.9107315061555679E-2</v>
      </c>
      <c r="M169" cm="1">
        <f t="array" aca="1" ref="M169" ca="1">thm_b(C169,qi,Di,bi,bf,telf,bterm,tterm)</f>
        <v>1</v>
      </c>
      <c r="N169" cm="1">
        <f t="array" aca="1" ref="N169" ca="1">thm_monthly_vol(C169,qi,Di,bi,bf,telf,bterm,tterm)</f>
        <v>1.4937370803650083</v>
      </c>
      <c r="O169" cm="1">
        <f t="array" aca="1" ref="O169" ca="1">thm_cum($C169,qi,Di,bi,bf,telf,bterm,tterm)</f>
        <v>496.17647708560469</v>
      </c>
      <c r="Q169" cm="1">
        <f t="array" aca="1" ref="Q169" ca="1">thm_rate(C169,$F$3,$F$4,$F$5,$F$6,$F$7,$F$8,$F$9)</f>
        <v>48.850255296683855</v>
      </c>
    </row>
    <row r="170" spans="2:17" x14ac:dyDescent="0.25">
      <c r="B170" cm="1">
        <f t="array" ref="B170">B169+log_interval</f>
        <v>8.1166124528040005</v>
      </c>
      <c r="C170">
        <f t="shared" si="8"/>
        <v>3349.6543915782413</v>
      </c>
      <c r="D170">
        <f ca="1"/>
        <v>46.240609106682363</v>
      </c>
      <c r="E170">
        <f ca="1"/>
        <v>2.8510125828265661E-4</v>
      </c>
      <c r="F170">
        <f ca="1"/>
        <v>1</v>
      </c>
      <c r="G170">
        <f ca="1"/>
        <v>505.08091088529807</v>
      </c>
      <c r="H170">
        <f t="shared" ca="1" si="7"/>
        <v>439.21976461736489</v>
      </c>
      <c r="J170" s="5" cm="1">
        <f t="array" aca="1" ref="J170" ca="1">thm_rate($C170,qi,Di,bi,bf,telf,bterm,tterm)</f>
        <v>46.240609106682363</v>
      </c>
      <c r="K170" s="5" cm="1">
        <f t="array" aca="1" ref="K170" ca="1">thm_D($C170,qi,Di,bi,bf,telf,bterm,tterm)</f>
        <v>2.8510125828265661E-4</v>
      </c>
      <c r="L170" s="3" cm="1">
        <f t="array" aca="1" ref="L170" ca="1">thm_D_eff(C170,qi,Di,bi,bf,telf,bterm,tterm)</f>
        <v>9.4312200127389056E-2</v>
      </c>
      <c r="M170" cm="1">
        <f t="array" aca="1" ref="M170" ca="1">thm_b(C170,qi,Di,bi,bf,telf,bterm,tterm)</f>
        <v>1</v>
      </c>
      <c r="N170" cm="1">
        <f t="array" aca="1" ref="N170" ca="1">thm_monthly_vol(C170,qi,Di,bi,bf,telf,bterm,tterm)</f>
        <v>1.4135908569497815</v>
      </c>
      <c r="O170" cm="1">
        <f t="array" aca="1" ref="O170" ca="1">thm_cum($C170,qi,Di,bi,bf,telf,bterm,tterm)</f>
        <v>505.08091088529807</v>
      </c>
      <c r="Q170" cm="1">
        <f t="array" aca="1" ref="Q170" ca="1">thm_rate(C170,$F$3,$F$4,$F$5,$F$6,$F$7,$F$8,$F$9)</f>
        <v>46.240609106682342</v>
      </c>
    </row>
    <row r="171" spans="2:17" x14ac:dyDescent="0.25">
      <c r="B171" cm="1">
        <f t="array" ref="B171">B170+log_interval</f>
        <v>8.1741770801288514</v>
      </c>
      <c r="C171">
        <f t="shared" si="8"/>
        <v>3548.1338923357162</v>
      </c>
      <c r="D171">
        <f ca="1"/>
        <v>43.76413850538097</v>
      </c>
      <c r="E171">
        <f ca="1"/>
        <v>2.6983232263991653E-4</v>
      </c>
      <c r="F171">
        <f ca="1"/>
        <v>1</v>
      </c>
      <c r="G171">
        <f ca="1"/>
        <v>514.00845076974258</v>
      </c>
      <c r="H171">
        <f t="shared" ca="1" si="7"/>
        <v>446.98317812627164</v>
      </c>
      <c r="J171" s="5" cm="1">
        <f t="array" aca="1" ref="J171" ca="1">thm_rate($C171,qi,Di,bi,bf,telf,bterm,tterm)</f>
        <v>43.76413850538097</v>
      </c>
      <c r="K171" s="5" cm="1">
        <f t="array" aca="1" ref="K171" ca="1">thm_D($C171,qi,Di,bi,bf,telf,bterm,tterm)</f>
        <v>2.6983232263991653E-4</v>
      </c>
      <c r="L171" s="3" cm="1">
        <f t="array" aca="1" ref="L171" ca="1">thm_D_eff(C171,qi,Di,bi,bf,telf,bterm,tterm)</f>
        <v>8.9714345824274511E-2</v>
      </c>
      <c r="M171" cm="1">
        <f t="array" aca="1" ref="M171" ca="1">thm_b(C171,qi,Di,bi,bf,telf,bterm,tterm)</f>
        <v>1</v>
      </c>
      <c r="N171" cm="1">
        <f t="array" aca="1" ref="N171" ca="1">thm_monthly_vol(C171,qi,Di,bi,bf,telf,bterm,tterm)</f>
        <v>1.3375712661375019</v>
      </c>
      <c r="O171" cm="1">
        <f t="array" aca="1" ref="O171" ca="1">thm_cum($C171,qi,Di,bi,bf,telf,bterm,tterm)</f>
        <v>514.00845076974258</v>
      </c>
      <c r="Q171" cm="1">
        <f t="array" aca="1" ref="Q171" ca="1">thm_rate(C171,$F$3,$F$4,$F$5,$F$6,$F$7,$F$8,$F$9)</f>
        <v>43.764138505380949</v>
      </c>
    </row>
    <row r="172" spans="2:17" x14ac:dyDescent="0.25">
      <c r="B172" cm="1">
        <f t="array" ref="B172">B171+log_interval</f>
        <v>8.2317417074537023</v>
      </c>
      <c r="C172">
        <f t="shared" si="8"/>
        <v>3758.3740428844003</v>
      </c>
      <c r="D172">
        <f ca="1"/>
        <v>41.4037737603512</v>
      </c>
      <c r="E172">
        <f ca="1"/>
        <v>2.6027205608893236E-4</v>
      </c>
      <c r="F172">
        <f ca="1"/>
        <v>0.3</v>
      </c>
      <c r="G172">
        <f ca="1"/>
        <v>522.95752397965896</v>
      </c>
      <c r="H172">
        <f t="shared" ca="1" si="7"/>
        <v>454.76531707488789</v>
      </c>
      <c r="J172" s="5" cm="1">
        <f t="array" aca="1" ref="J172" ca="1">thm_rate($C172,qi,Di,bi,bf,telf,bterm,tterm)</f>
        <v>41.4037737603512</v>
      </c>
      <c r="K172" s="5" cm="1">
        <f t="array" aca="1" ref="K172" ca="1">thm_D($C172,qi,Di,bi,bf,telf,bterm,tterm)</f>
        <v>2.6027205608893236E-4</v>
      </c>
      <c r="L172" s="3" cm="1">
        <f t="array" aca="1" ref="L172" ca="1">thm_D_eff(C172,qi,Di,bi,bf,telf,bterm,tterm)</f>
        <v>8.9475086667475612E-2</v>
      </c>
      <c r="M172" cm="1">
        <f t="array" aca="1" ref="M172" ca="1">thm_b(C172,qi,Di,bi,bf,telf,bterm,tterm)</f>
        <v>0.3</v>
      </c>
      <c r="N172" cm="1">
        <f t="array" aca="1" ref="N172" ca="1">thm_monthly_vol(C172,qi,Di,bi,bf,telf,bterm,tterm)</f>
        <v>1.265236334414567</v>
      </c>
      <c r="O172" cm="1">
        <f t="array" aca="1" ref="O172" ca="1">thm_cum($C172,qi,Di,bi,bf,telf,bterm,tterm)</f>
        <v>522.95752397965896</v>
      </c>
      <c r="Q172" cm="1">
        <f t="array" aca="1" ref="Q172" ca="1">thm_rate(C172,$F$3,$F$4,$F$5,$F$6,$F$7,$F$8,$F$9)</f>
        <v>41.403773760351179</v>
      </c>
    </row>
    <row r="173" spans="2:17" x14ac:dyDescent="0.25">
      <c r="B173" cm="1">
        <f t="array" ref="B173">B172+log_interval</f>
        <v>8.2893063347785532</v>
      </c>
      <c r="C173">
        <f t="shared" si="8"/>
        <v>3981.0717055349273</v>
      </c>
      <c r="D173">
        <f ca="1"/>
        <v>39.091623984334248</v>
      </c>
      <c r="E173">
        <f ca="1"/>
        <v>2.558236427414251E-4</v>
      </c>
      <c r="F173">
        <f ca="1"/>
        <v>0.3</v>
      </c>
      <c r="G173">
        <f ca="1"/>
        <v>531.91738719440878</v>
      </c>
      <c r="H173">
        <f t="shared" ca="1" si="7"/>
        <v>462.55683904171173</v>
      </c>
      <c r="J173" s="5" cm="1">
        <f t="array" aca="1" ref="J173" ca="1">thm_rate($C173,qi,Di,bi,bf,telf,bterm,tterm)</f>
        <v>39.091623984334248</v>
      </c>
      <c r="K173" s="5" cm="1">
        <f t="array" aca="1" ref="K173" ca="1">thm_D($C173,qi,Di,bi,bf,telf,bterm,tterm)</f>
        <v>2.558236427414251E-4</v>
      </c>
      <c r="L173" s="3" cm="1">
        <f t="array" aca="1" ref="L173" ca="1">thm_D_eff(C173,qi,Di,bi,bf,telf,bterm,tterm)</f>
        <v>8.8035224787254007E-2</v>
      </c>
      <c r="M173" cm="1">
        <f t="array" aca="1" ref="M173" ca="1">thm_b(C173,qi,Di,bi,bf,telf,bterm,tterm)</f>
        <v>0.3</v>
      </c>
      <c r="N173" cm="1">
        <f t="array" aca="1" ref="N173" ca="1">thm_monthly_vol(C173,qi,Di,bi,bf,telf,bterm,tterm)</f>
        <v>1.1944994519553802</v>
      </c>
      <c r="O173" cm="1">
        <f t="array" aca="1" ref="O173" ca="1">thm_cum($C173,qi,Di,bi,bf,telf,bterm,tterm)</f>
        <v>531.91738719440878</v>
      </c>
      <c r="Q173" cm="1">
        <f t="array" aca="1" ref="Q173" ca="1">thm_rate(C173,$F$3,$F$4,$F$5,$F$6,$F$7,$F$8,$F$9)</f>
        <v>39.091623984334227</v>
      </c>
    </row>
    <row r="174" spans="2:17" x14ac:dyDescent="0.25">
      <c r="B174" cm="1">
        <f t="array" ref="B174">B173+log_interval</f>
        <v>8.3468709621034041</v>
      </c>
      <c r="C174">
        <f t="shared" si="8"/>
        <v>4216.965034285774</v>
      </c>
      <c r="D174">
        <f ca="1"/>
        <v>36.822198884883591</v>
      </c>
      <c r="E174">
        <f ca="1"/>
        <v>2.512745365697892E-4</v>
      </c>
      <c r="F174">
        <f ca="1"/>
        <v>0.3</v>
      </c>
      <c r="G174">
        <f ca="1"/>
        <v>540.8677010566081</v>
      </c>
      <c r="H174">
        <f t="shared" ca="1" si="7"/>
        <v>470.34005686500313</v>
      </c>
      <c r="J174" s="5" cm="1">
        <f t="array" aca="1" ref="J174" ca="1">thm_rate($C174,qi,Di,bi,bf,telf,bterm,tterm)</f>
        <v>36.822198884883591</v>
      </c>
      <c r="K174" s="5" cm="1">
        <f t="array" aca="1" ref="K174" ca="1">thm_D($C174,qi,Di,bi,bf,telf,bterm,tterm)</f>
        <v>2.512745365697892E-4</v>
      </c>
      <c r="L174" s="3" cm="1">
        <f t="array" aca="1" ref="L174" ca="1">thm_D_eff(C174,qi,Di,bi,bf,telf,bterm,tterm)</f>
        <v>8.6559707883791859E-2</v>
      </c>
      <c r="M174" cm="1">
        <f t="array" aca="1" ref="M174" ca="1">thm_b(C174,qi,Di,bi,bf,telf,bterm,tterm)</f>
        <v>0.3</v>
      </c>
      <c r="N174" cm="1">
        <f t="array" aca="1" ref="N174" ca="1">thm_monthly_vol(C174,qi,Di,bi,bf,telf,bterm,tterm)</f>
        <v>1.1250758673691053</v>
      </c>
      <c r="O174" cm="1">
        <f t="array" aca="1" ref="O174" ca="1">thm_cum($C174,qi,Di,bi,bf,telf,bterm,tterm)</f>
        <v>540.8677010566081</v>
      </c>
      <c r="Q174" cm="1">
        <f t="array" aca="1" ref="Q174" ca="1">thm_rate(C174,$F$3,$F$4,$F$5,$F$6,$F$7,$F$8,$F$9)</f>
        <v>36.822198884883569</v>
      </c>
    </row>
    <row r="175" spans="2:17" x14ac:dyDescent="0.25">
      <c r="B175" cm="1">
        <f t="array" ref="B175">B174+log_interval</f>
        <v>8.404435589428255</v>
      </c>
      <c r="C175">
        <f t="shared" si="8"/>
        <v>4466.8359215095788</v>
      </c>
      <c r="D175">
        <f ca="1"/>
        <v>34.60155753118412</v>
      </c>
      <c r="E175">
        <f ca="1"/>
        <v>2.466290666357908E-4</v>
      </c>
      <c r="F175">
        <f ca="1"/>
        <v>0.3</v>
      </c>
      <c r="G175">
        <f ca="1"/>
        <v>549.78732095613009</v>
      </c>
      <c r="H175">
        <f t="shared" ca="1" si="7"/>
        <v>478.09658313299769</v>
      </c>
      <c r="J175" s="5" cm="1">
        <f t="array" aca="1" ref="J175" ca="1">thm_rate($C175,qi,Di,bi,bf,telf,bterm,tterm)</f>
        <v>34.60155753118412</v>
      </c>
      <c r="K175" s="5" cm="1">
        <f t="array" aca="1" ref="K175" ca="1">thm_D($C175,qi,Di,bi,bf,telf,bterm,tterm)</f>
        <v>2.466290666357908E-4</v>
      </c>
      <c r="L175" s="3" cm="1">
        <f t="array" aca="1" ref="L175" ca="1">thm_D_eff(C175,qi,Di,bi,bf,telf,bterm,tterm)</f>
        <v>8.5049730654291444E-2</v>
      </c>
      <c r="M175" cm="1">
        <f t="array" aca="1" ref="M175" ca="1">thm_b(C175,qi,Di,bi,bf,telf,bterm,tterm)</f>
        <v>0.3</v>
      </c>
      <c r="N175" cm="1">
        <f t="array" aca="1" ref="N175" ca="1">thm_monthly_vol(C175,qi,Di,bi,bf,telf,bterm,tterm)</f>
        <v>1.0571508145594635</v>
      </c>
      <c r="O175" cm="1">
        <f t="array" aca="1" ref="O175" ca="1">thm_cum($C175,qi,Di,bi,bf,telf,bterm,tterm)</f>
        <v>549.78732095613009</v>
      </c>
      <c r="Q175" cm="1">
        <f t="array" aca="1" ref="Q175" ca="1">thm_rate(C175,$F$3,$F$4,$F$5,$F$6,$F$7,$F$8,$F$9)</f>
        <v>34.601557531184099</v>
      </c>
    </row>
    <row r="176" spans="2:17" x14ac:dyDescent="0.25">
      <c r="B176" cm="1">
        <f t="array" ref="B176">B175+log_interval</f>
        <v>8.4620002167531059</v>
      </c>
      <c r="C176">
        <f t="shared" si="8"/>
        <v>4731.5125896147483</v>
      </c>
      <c r="D176">
        <f ca="1"/>
        <v>32.435473181354141</v>
      </c>
      <c r="E176">
        <f ca="1"/>
        <v>2.4189207291336101E-4</v>
      </c>
      <c r="F176">
        <f ca="1"/>
        <v>0.3</v>
      </c>
      <c r="G176">
        <f ca="1"/>
        <v>558.65487513853213</v>
      </c>
      <c r="H176">
        <f t="shared" ca="1" si="7"/>
        <v>485.80783290860217</v>
      </c>
      <c r="J176" s="5" cm="1">
        <f t="array" aca="1" ref="J176" ca="1">thm_rate($C176,qi,Di,bi,bf,telf,bterm,tterm)</f>
        <v>32.435473181354141</v>
      </c>
      <c r="K176" s="5" cm="1">
        <f t="array" aca="1" ref="K176" ca="1">thm_D($C176,qi,Di,bi,bf,telf,bterm,tterm)</f>
        <v>2.4189207291336101E-4</v>
      </c>
      <c r="L176" s="3" cm="1">
        <f t="array" aca="1" ref="L176" ca="1">thm_D_eff(C176,qi,Di,bi,bf,telf,bterm,tterm)</f>
        <v>8.3506661101710455E-2</v>
      </c>
      <c r="M176" cm="1">
        <f t="array" aca="1" ref="M176" ca="1">thm_b(C176,qi,Di,bi,bf,telf,bterm,tterm)</f>
        <v>0.3</v>
      </c>
      <c r="N176" cm="1">
        <f t="array" aca="1" ref="N176" ca="1">thm_monthly_vol(C176,qi,Di,bi,bf,telf,bterm,tterm)</f>
        <v>0.99090072034755394</v>
      </c>
      <c r="O176" cm="1">
        <f t="array" aca="1" ref="O176" ca="1">thm_cum($C176,qi,Di,bi,bf,telf,bterm,tterm)</f>
        <v>558.65487513853213</v>
      </c>
      <c r="Q176" cm="1">
        <f t="array" aca="1" ref="Q176" ca="1">thm_rate(C176,$F$3,$F$4,$F$5,$F$6,$F$7,$F$8,$F$9)</f>
        <v>32.435473181354126</v>
      </c>
    </row>
    <row r="177" spans="2:17" x14ac:dyDescent="0.25">
      <c r="B177" cm="1">
        <f t="array" ref="B177">B176+log_interval</f>
        <v>8.5195648440779568</v>
      </c>
      <c r="C177">
        <f t="shared" si="8"/>
        <v>5011.8723362726614</v>
      </c>
      <c r="D177">
        <f ca="1"/>
        <v>30.329369279238637</v>
      </c>
      <c r="E177">
        <f ca="1"/>
        <v>2.3706889670714555E-4</v>
      </c>
      <c r="F177">
        <f ca="1"/>
        <v>0.3</v>
      </c>
      <c r="G177">
        <f ca="1"/>
        <v>567.4489486421628</v>
      </c>
      <c r="H177">
        <f t="shared" ca="1" si="7"/>
        <v>493.45518368161453</v>
      </c>
      <c r="J177" s="5" cm="1">
        <f t="array" aca="1" ref="J177" ca="1">thm_rate($C177,qi,Di,bi,bf,telf,bterm,tterm)</f>
        <v>30.329369279238637</v>
      </c>
      <c r="K177" s="5" cm="1">
        <f t="array" aca="1" ref="K177" ca="1">thm_D($C177,qi,Di,bi,bf,telf,bterm,tterm)</f>
        <v>2.3706889670714555E-4</v>
      </c>
      <c r="L177" s="3" cm="1">
        <f t="array" aca="1" ref="L177" ca="1">thm_D_eff(C177,qi,Di,bi,bf,telf,bterm,tterm)</f>
        <v>8.1932039898838238E-2</v>
      </c>
      <c r="M177" cm="1">
        <f t="array" aca="1" ref="M177" ca="1">thm_b(C177,qi,Di,bi,bf,telf,bterm,tterm)</f>
        <v>0.3</v>
      </c>
      <c r="N177" cm="1">
        <f t="array" aca="1" ref="N177" ca="1">thm_monthly_vol(C177,qi,Di,bi,bf,telf,bterm,tterm)</f>
        <v>0.92649124830506935</v>
      </c>
      <c r="O177" cm="1">
        <f t="array" aca="1" ref="O177" ca="1">thm_cum($C177,qi,Di,bi,bf,telf,bterm,tterm)</f>
        <v>567.4489486421628</v>
      </c>
      <c r="Q177" cm="1">
        <f t="array" aca="1" ref="Q177" ca="1">thm_rate(C177,$F$3,$F$4,$F$5,$F$6,$F$7,$F$8,$F$9)</f>
        <v>30.329369279238623</v>
      </c>
    </row>
    <row r="178" spans="2:17" x14ac:dyDescent="0.25">
      <c r="B178" cm="1">
        <f t="array" ref="B178">B177+log_interval</f>
        <v>8.5771294714028077</v>
      </c>
      <c r="C178">
        <f t="shared" si="8"/>
        <v>5308.8444423098172</v>
      </c>
      <c r="D178">
        <f ca="1"/>
        <v>28.288259368204749</v>
      </c>
      <c r="E178">
        <f ca="1"/>
        <v>2.3216536571453084E-4</v>
      </c>
      <c r="F178">
        <f ca="1"/>
        <v>0.3</v>
      </c>
      <c r="G178">
        <f ca="1"/>
        <v>576.14827439422129</v>
      </c>
      <c r="H178">
        <f t="shared" ca="1" si="7"/>
        <v>501.0201415463884</v>
      </c>
      <c r="J178" s="5" cm="1">
        <f t="array" aca="1" ref="J178" ca="1">thm_rate($C178,qi,Di,bi,bf,telf,bterm,tterm)</f>
        <v>28.288259368204749</v>
      </c>
      <c r="K178" s="5" cm="1">
        <f t="array" aca="1" ref="K178" ca="1">thm_D($C178,qi,Di,bi,bf,telf,bterm,tterm)</f>
        <v>2.3216536571453084E-4</v>
      </c>
      <c r="L178" s="3" cm="1">
        <f t="array" aca="1" ref="L178" ca="1">thm_D_eff(C178,qi,Di,bi,bf,telf,bterm,tterm)</f>
        <v>8.0327578045896963E-2</v>
      </c>
      <c r="M178" cm="1">
        <f t="array" aca="1" ref="M178" ca="1">thm_b(C178,qi,Di,bi,bf,telf,bterm,tterm)</f>
        <v>0.3</v>
      </c>
      <c r="N178" cm="1">
        <f t="array" aca="1" ref="N178" ca="1">thm_monthly_vol(C178,qi,Di,bi,bf,telf,bterm,tterm)</f>
        <v>0.86407546374175581</v>
      </c>
      <c r="O178" cm="1">
        <f t="array" aca="1" ref="O178" ca="1">thm_cum($C178,qi,Di,bi,bf,telf,bterm,tterm)</f>
        <v>576.14827439422129</v>
      </c>
      <c r="Q178" cm="1">
        <f t="array" aca="1" ref="Q178" ca="1">thm_rate(C178,$F$3,$F$4,$F$5,$F$6,$F$7,$F$8,$F$9)</f>
        <v>28.288259368204734</v>
      </c>
    </row>
    <row r="179" spans="2:17" x14ac:dyDescent="0.25">
      <c r="B179" cm="1">
        <f t="array" ref="B179">B178+log_interval</f>
        <v>8.6346940987276586</v>
      </c>
      <c r="C179">
        <f t="shared" si="8"/>
        <v>5623.4132519034192</v>
      </c>
      <c r="D179">
        <f ca="1"/>
        <v>26.316692297480738</v>
      </c>
      <c r="E179">
        <f ca="1"/>
        <v>2.2718777364666849E-4</v>
      </c>
      <c r="F179">
        <f ca="1"/>
        <v>0.3</v>
      </c>
      <c r="G179">
        <f ca="1"/>
        <v>584.73192831128574</v>
      </c>
      <c r="H179">
        <f t="shared" ca="1" si="7"/>
        <v>508.48451086179529</v>
      </c>
      <c r="J179" s="5" cm="1">
        <f t="array" aca="1" ref="J179" ca="1">thm_rate($C179,qi,Di,bi,bf,telf,bterm,tterm)</f>
        <v>26.316692297480738</v>
      </c>
      <c r="K179" s="5" cm="1">
        <f t="array" aca="1" ref="K179" ca="1">thm_D($C179,qi,Di,bi,bf,telf,bterm,tterm)</f>
        <v>2.2718777364666849E-4</v>
      </c>
      <c r="L179" s="3" cm="1">
        <f t="array" aca="1" ref="L179" ca="1">thm_D_eff(C179,qi,Di,bi,bf,telf,bterm,tterm)</f>
        <v>7.8695152750209774E-2</v>
      </c>
      <c r="M179" cm="1">
        <f t="array" aca="1" ref="M179" ca="1">thm_b(C179,qi,Di,bi,bf,telf,bterm,tterm)</f>
        <v>0.3</v>
      </c>
      <c r="N179" cm="1">
        <f t="array" aca="1" ref="N179" ca="1">thm_monthly_vol(C179,qi,Di,bi,bf,telf,bterm,tterm)</f>
        <v>0.80379216189032832</v>
      </c>
      <c r="O179" cm="1">
        <f t="array" aca="1" ref="O179" ca="1">thm_cum($C179,qi,Di,bi,bf,telf,bterm,tterm)</f>
        <v>584.73192831128574</v>
      </c>
      <c r="Q179" cm="1">
        <f t="array" aca="1" ref="Q179" ca="1">thm_rate(C179,$F$3,$F$4,$F$5,$F$6,$F$7,$F$8,$F$9)</f>
        <v>26.316692297480724</v>
      </c>
    </row>
    <row r="180" spans="2:17" x14ac:dyDescent="0.25">
      <c r="B180" cm="1">
        <f t="array" ref="B180">B179+log_interval</f>
        <v>8.6922587260525095</v>
      </c>
      <c r="C180">
        <f t="shared" si="8"/>
        <v>5956.621435290027</v>
      </c>
      <c r="D180">
        <f ca="1"/>
        <v>24.418704004840048</v>
      </c>
      <c r="E180">
        <f ca="1"/>
        <v>2.2214285441948998E-4</v>
      </c>
      <c r="F180">
        <f ca="1"/>
        <v>0.3</v>
      </c>
      <c r="G180">
        <f ca="1"/>
        <v>593.17952499670764</v>
      </c>
      <c r="H180">
        <f t="shared" ca="1" si="7"/>
        <v>515.83056443022258</v>
      </c>
      <c r="J180" s="5" cm="1">
        <f t="array" aca="1" ref="J180" ca="1">thm_rate($C180,qi,Di,bi,bf,telf,bterm,tterm)</f>
        <v>24.418704004840048</v>
      </c>
      <c r="K180" s="5" cm="1">
        <f t="array" aca="1" ref="K180" ca="1">thm_D($C180,qi,Di,bi,bf,telf,bterm,tterm)</f>
        <v>2.2214285441948998E-4</v>
      </c>
      <c r="L180" s="3" cm="1">
        <f t="array" aca="1" ref="L180" ca="1">thm_D_eff(C180,qi,Di,bi,bf,telf,bterm,tterm)</f>
        <v>7.7036801484293815E-2</v>
      </c>
      <c r="M180" cm="1">
        <f t="array" aca="1" ref="M180" ca="1">thm_b(C180,qi,Di,bi,bf,telf,bterm,tterm)</f>
        <v>0.3</v>
      </c>
      <c r="N180" cm="1">
        <f t="array" aca="1" ref="N180" ca="1">thm_monthly_vol(C180,qi,Di,bi,bf,telf,bterm,tterm)</f>
        <v>0.74576439848169684</v>
      </c>
      <c r="O180" cm="1">
        <f t="array" aca="1" ref="O180" ca="1">thm_cum($C180,qi,Di,bi,bf,telf,bterm,tterm)</f>
        <v>593.17952499670764</v>
      </c>
      <c r="Q180" cm="1">
        <f t="array" aca="1" ref="Q180" ca="1">thm_rate(C180,$F$3,$F$4,$F$5,$F$6,$F$7,$F$8,$F$9)</f>
        <v>24.418704004840038</v>
      </c>
    </row>
    <row r="181" spans="2:17" x14ac:dyDescent="0.25">
      <c r="B181" cm="1">
        <f t="array" ref="B181">B180+log_interval</f>
        <v>8.7498233533773604</v>
      </c>
      <c r="C181">
        <f t="shared" si="8"/>
        <v>6309.5734448018493</v>
      </c>
      <c r="D181">
        <f ca="1"/>
        <v>22.597777019671231</v>
      </c>
      <c r="E181">
        <f ca="1"/>
        <v>2.1703775102704248E-4</v>
      </c>
      <c r="F181">
        <f ca="1"/>
        <v>0.3</v>
      </c>
      <c r="G181">
        <f ca="1"/>
        <v>601.47141046273669</v>
      </c>
      <c r="H181">
        <f t="shared" ca="1" si="7"/>
        <v>523.04121108926938</v>
      </c>
      <c r="J181" s="5" cm="1">
        <f t="array" aca="1" ref="J181" ca="1">thm_rate($C181,qi,Di,bi,bf,telf,bterm,tterm)</f>
        <v>22.597777019671231</v>
      </c>
      <c r="K181" s="5" cm="1">
        <f t="array" aca="1" ref="K181" ca="1">thm_D($C181,qi,Di,bi,bf,telf,bterm,tterm)</f>
        <v>2.1703775102704248E-4</v>
      </c>
      <c r="L181" s="3" cm="1">
        <f t="array" aca="1" ref="L181" ca="1">thm_D_eff(C181,qi,Di,bi,bf,telf,bterm,tterm)</f>
        <v>7.535471420972506E-2</v>
      </c>
      <c r="M181" cm="1">
        <f t="array" aca="1" ref="M181" ca="1">thm_b(C181,qi,Di,bi,bf,telf,bterm,tterm)</f>
        <v>0.3</v>
      </c>
      <c r="N181" cm="1">
        <f t="array" aca="1" ref="N181" ca="1">thm_monthly_vol(C181,qi,Di,bi,bf,telf,bterm,tterm)</f>
        <v>0.69009825757666476</v>
      </c>
      <c r="O181" cm="1">
        <f t="array" aca="1" ref="O181" ca="1">thm_cum($C181,qi,Di,bi,bf,telf,bterm,tterm)</f>
        <v>601.47141046273669</v>
      </c>
      <c r="Q181" cm="1">
        <f t="array" aca="1" ref="Q181" ca="1">thm_rate(C181,$F$3,$F$4,$F$5,$F$6,$F$7,$F$8,$F$9)</f>
        <v>22.597777019671216</v>
      </c>
    </row>
    <row r="182" spans="2:17" x14ac:dyDescent="0.25">
      <c r="B182" cm="1">
        <f t="array" ref="B182">B181+log_interval</f>
        <v>8.8073879807022113</v>
      </c>
      <c r="C182">
        <f t="shared" si="8"/>
        <v>6683.4391756860559</v>
      </c>
      <c r="D182">
        <f ca="1"/>
        <v>20.856808646162406</v>
      </c>
      <c r="E182">
        <f ca="1"/>
        <v>2.1187997931405205E-4</v>
      </c>
      <c r="F182">
        <f ca="1"/>
        <v>0.3</v>
      </c>
      <c r="G182">
        <f ca="1"/>
        <v>609.58884824080519</v>
      </c>
      <c r="H182">
        <f t="shared" ca="1" si="7"/>
        <v>530.10015755376776</v>
      </c>
      <c r="J182" s="5" cm="1">
        <f t="array" aca="1" ref="J182" ca="1">thm_rate($C182,qi,Di,bi,bf,telf,bterm,tterm)</f>
        <v>20.856808646162406</v>
      </c>
      <c r="K182" s="5" cm="1">
        <f t="array" aca="1" ref="K182" ca="1">thm_D($C182,qi,Di,bi,bf,telf,bterm,tterm)</f>
        <v>2.1187997931405205E-4</v>
      </c>
      <c r="L182" s="3" cm="1">
        <f t="array" aca="1" ref="L182" ca="1">thm_D_eff(C182,qi,Di,bi,bf,telf,bterm,tterm)</f>
        <v>7.3651223787365327E-2</v>
      </c>
      <c r="M182" cm="1">
        <f t="array" aca="1" ref="M182" ca="1">thm_b(C182,qi,Di,bi,bf,telf,bterm,tterm)</f>
        <v>0.3</v>
      </c>
      <c r="N182" cm="1">
        <f t="array" aca="1" ref="N182" ca="1">thm_monthly_vol(C182,qi,Di,bi,bf,telf,bterm,tterm)</f>
        <v>0.63688188585251737</v>
      </c>
      <c r="O182" cm="1">
        <f t="array" aca="1" ref="O182" ca="1">thm_cum($C182,qi,Di,bi,bf,telf,bterm,tterm)</f>
        <v>609.58884824080519</v>
      </c>
      <c r="Q182" cm="1">
        <f t="array" aca="1" ref="Q182" ca="1">thm_rate(C182,$F$3,$F$4,$F$5,$F$6,$F$7,$F$8,$F$9)</f>
        <v>20.856808646162396</v>
      </c>
    </row>
    <row r="183" spans="2:17" x14ac:dyDescent="0.25">
      <c r="B183" cm="1">
        <f t="array" ref="B183">B182+log_interval</f>
        <v>8.8649526080270622</v>
      </c>
      <c r="C183">
        <f t="shared" si="8"/>
        <v>7079.4578438412818</v>
      </c>
      <c r="D183">
        <f ca="1"/>
        <v>19.198088563370881</v>
      </c>
      <c r="E183">
        <f ca="1"/>
        <v>2.0667738696949139E-4</v>
      </c>
      <c r="F183">
        <f ca="1"/>
        <v>0.3</v>
      </c>
      <c r="G183">
        <f ca="1"/>
        <v>617.51419528681504</v>
      </c>
      <c r="H183">
        <f t="shared" ca="1" si="7"/>
        <v>536.9920613835086</v>
      </c>
      <c r="J183" s="5" cm="1">
        <f t="array" aca="1" ref="J183" ca="1">thm_rate($C183,qi,Di,bi,bf,telf,bterm,tterm)</f>
        <v>19.198088563370881</v>
      </c>
      <c r="K183" s="5" cm="1">
        <f t="array" aca="1" ref="K183" ca="1">thm_D($C183,qi,Di,bi,bf,telf,bterm,tterm)</f>
        <v>2.0667738696949139E-4</v>
      </c>
      <c r="L183" s="3" cm="1">
        <f t="array" aca="1" ref="L183" ca="1">thm_D_eff(C183,qi,Di,bi,bf,telf,bterm,tterm)</f>
        <v>7.1928794629464998E-2</v>
      </c>
      <c r="M183" cm="1">
        <f t="array" aca="1" ref="M183" ca="1">thm_b(C183,qi,Di,bi,bf,telf,bterm,tterm)</f>
        <v>0.3</v>
      </c>
      <c r="N183" cm="1">
        <f t="array" aca="1" ref="N183" ca="1">thm_monthly_vol(C183,qi,Di,bi,bf,telf,bterm,tterm)</f>
        <v>0.5861848156752103</v>
      </c>
      <c r="O183" cm="1">
        <f t="array" aca="1" ref="O183" ca="1">thm_cum($C183,qi,Di,bi,bf,telf,bterm,tterm)</f>
        <v>617.51419528681504</v>
      </c>
      <c r="Q183" cm="1">
        <f t="array" aca="1" ref="Q183" ca="1">thm_rate(C183,$F$3,$F$4,$F$5,$F$6,$F$7,$F$8,$F$9)</f>
        <v>19.198088563370874</v>
      </c>
    </row>
    <row r="184" spans="2:17" x14ac:dyDescent="0.25">
      <c r="B184" cm="1">
        <f t="array" ref="B184">B183+log_interval</f>
        <v>8.9225172353519131</v>
      </c>
      <c r="C184">
        <f t="shared" si="8"/>
        <v>7498.9420933244537</v>
      </c>
      <c r="D184">
        <f ca="1"/>
        <v>17.62328632547225</v>
      </c>
      <c r="E184">
        <f ca="1"/>
        <v>2.0143810816495444E-4</v>
      </c>
      <c r="F184">
        <f ca="1"/>
        <v>0.3</v>
      </c>
      <c r="G184">
        <f ca="1"/>
        <v>625.23106424287585</v>
      </c>
      <c r="H184">
        <f t="shared" ca="1" si="7"/>
        <v>543.70267208650102</v>
      </c>
      <c r="J184" s="5" cm="1">
        <f t="array" aca="1" ref="J184" ca="1">thm_rate($C184,qi,Di,bi,bf,telf,bterm,tterm)</f>
        <v>17.62328632547225</v>
      </c>
      <c r="K184" s="5" cm="1">
        <f t="array" aca="1" ref="K184" ca="1">thm_D($C184,qi,Di,bi,bf,telf,bterm,tterm)</f>
        <v>2.0143810816495444E-4</v>
      </c>
      <c r="L184" s="3" cm="1">
        <f t="array" aca="1" ref="L184" ca="1">thm_D_eff(C184,qi,Di,bi,bf,telf,bterm,tterm)</f>
        <v>7.0190009684569676E-2</v>
      </c>
      <c r="M184" cm="1">
        <f t="array" aca="1" ref="M184" ca="1">thm_b(C184,qi,Di,bi,bf,telf,bterm,tterm)</f>
        <v>0.3</v>
      </c>
      <c r="N184" cm="1">
        <f t="array" aca="1" ref="N184" ca="1">thm_monthly_vol(C184,qi,Di,bi,bf,telf,bterm,tterm)</f>
        <v>0.53805759151487109</v>
      </c>
      <c r="O184" cm="1">
        <f t="array" aca="1" ref="O184" ca="1">thm_cum($C184,qi,Di,bi,bf,telf,bterm,tterm)</f>
        <v>625.23106424287585</v>
      </c>
      <c r="Q184" cm="1">
        <f t="array" aca="1" ref="Q184" ca="1">thm_rate(C184,$F$3,$F$4,$F$5,$F$6,$F$7,$F$8,$F$9)</f>
        <v>17.62328632547224</v>
      </c>
    </row>
    <row r="185" spans="2:17" x14ac:dyDescent="0.25">
      <c r="B185" cm="1">
        <f t="array" ref="B185">B184+log_interval</f>
        <v>8.980081862676764</v>
      </c>
      <c r="C185">
        <f t="shared" si="8"/>
        <v>7943.2823472427026</v>
      </c>
      <c r="D185">
        <f ca="1"/>
        <v>16.133448971465558</v>
      </c>
      <c r="E185">
        <f ca="1"/>
        <v>1.9617051435760402E-4</v>
      </c>
      <c r="F185">
        <f ca="1"/>
        <v>0.3</v>
      </c>
      <c r="G185">
        <f ca="1"/>
        <v>632.72446888122658</v>
      </c>
      <c r="H185">
        <f t="shared" ca="1" si="7"/>
        <v>550.21895759741108</v>
      </c>
      <c r="J185" s="5" cm="1">
        <f t="array" aca="1" ref="J185" ca="1">thm_rate($C185,qi,Di,bi,bf,telf,bterm,tterm)</f>
        <v>16.133448971465558</v>
      </c>
      <c r="K185" s="5" cm="1">
        <f t="array" aca="1" ref="K185" ca="1">thm_D($C185,qi,Di,bi,bf,telf,bterm,tterm)</f>
        <v>1.9617051435760402E-4</v>
      </c>
      <c r="L185" s="3" cm="1">
        <f t="array" aca="1" ref="L185" ca="1">thm_D_eff(C185,qi,Di,bi,bf,telf,bterm,tterm)</f>
        <v>6.8437555881246448E-2</v>
      </c>
      <c r="M185" cm="1">
        <f t="array" aca="1" ref="M185" ca="1">thm_b(C185,qi,Di,bi,bf,telf,bterm,tterm)</f>
        <v>0.3</v>
      </c>
      <c r="N185" cm="1">
        <f t="array" aca="1" ref="N185" ca="1">thm_monthly_vol(C185,qi,Di,bi,bf,telf,bterm,tterm)</f>
        <v>0.49253170585700445</v>
      </c>
      <c r="O185" cm="1">
        <f t="array" aca="1" ref="O185" ca="1">thm_cum($C185,qi,Di,bi,bf,telf,bterm,tterm)</f>
        <v>632.72446888122658</v>
      </c>
      <c r="Q185" cm="1">
        <f t="array" aca="1" ref="Q185" ca="1">thm_rate(C185,$F$3,$F$4,$F$5,$F$6,$F$7,$F$8,$F$9)</f>
        <v>16.133448971465551</v>
      </c>
    </row>
    <row r="186" spans="2:17" x14ac:dyDescent="0.25">
      <c r="B186" cm="1">
        <f t="array" ref="B186">B185+log_interval</f>
        <v>9.0376464900016149</v>
      </c>
      <c r="C186">
        <f t="shared" si="8"/>
        <v>8413.9514164518296</v>
      </c>
      <c r="D186">
        <f ca="1"/>
        <v>14.729008670351069</v>
      </c>
      <c r="E186">
        <f ca="1"/>
        <v>1.9088316186420705E-4</v>
      </c>
      <c r="F186">
        <f ca="1"/>
        <v>0.3</v>
      </c>
      <c r="G186">
        <f ca="1"/>
        <v>639.98094992347455</v>
      </c>
      <c r="H186">
        <f t="shared" ca="1" si="7"/>
        <v>556.52921369032106</v>
      </c>
      <c r="J186" s="5" cm="1">
        <f t="array" aca="1" ref="J186" ca="1">thm_rate($C186,qi,Di,bi,bf,telf,bterm,tterm)</f>
        <v>14.729008670351069</v>
      </c>
      <c r="K186" s="5" cm="1">
        <f t="array" aca="1" ref="K186" ca="1">thm_D($C186,qi,Di,bi,bf,telf,bterm,tterm)</f>
        <v>1.9088316186420705E-4</v>
      </c>
      <c r="L186" s="3" cm="1">
        <f t="array" aca="1" ref="L186" ca="1">thm_D_eff(C186,qi,Di,bi,bf,telf,bterm,tterm)</f>
        <v>6.6674208190147133E-2</v>
      </c>
      <c r="M186" cm="1">
        <f t="array" aca="1" ref="M186" ca="1">thm_b(C186,qi,Di,bi,bf,telf,bterm,tterm)</f>
        <v>0.3</v>
      </c>
      <c r="N186" cm="1">
        <f t="array" aca="1" ref="N186" ca="1">thm_monthly_vol(C186,qi,Di,bi,bf,telf,bterm,tterm)</f>
        <v>0.44961984209169259</v>
      </c>
      <c r="O186" cm="1">
        <f t="array" aca="1" ref="O186" ca="1">thm_cum($C186,qi,Di,bi,bf,telf,bterm,tterm)</f>
        <v>639.98094992347455</v>
      </c>
      <c r="Q186" cm="1">
        <f t="array" aca="1" ref="Q186" ca="1">thm_rate(C186,$F$3,$F$4,$F$5,$F$6,$F$7,$F$8,$F$9)</f>
        <v>14.729008670351062</v>
      </c>
    </row>
    <row r="187" spans="2:17" x14ac:dyDescent="0.25">
      <c r="B187" cm="1">
        <f t="array" ref="B187">B186+log_interval</f>
        <v>9.0952111173264658</v>
      </c>
      <c r="C187">
        <f t="shared" si="8"/>
        <v>8912.5093813373242</v>
      </c>
      <c r="D187">
        <f ca="1"/>
        <v>13.409800047280742</v>
      </c>
      <c r="E187">
        <f ca="1"/>
        <v>1.8558473688736005E-4</v>
      </c>
      <c r="F187">
        <f ca="1"/>
        <v>0.3</v>
      </c>
      <c r="G187">
        <f ca="1"/>
        <v>646.98867888738982</v>
      </c>
      <c r="H187">
        <f t="shared" ca="1" si="7"/>
        <v>562.62315428419186</v>
      </c>
      <c r="J187" s="5" cm="1">
        <f t="array" aca="1" ref="J187" ca="1">thm_rate($C187,qi,Di,bi,bf,telf,bterm,tterm)</f>
        <v>13.409800047280742</v>
      </c>
      <c r="K187" s="5" cm="1">
        <f t="array" aca="1" ref="K187" ca="1">thm_D($C187,qi,Di,bi,bf,telf,bterm,tterm)</f>
        <v>1.8558473688736005E-4</v>
      </c>
      <c r="L187" s="3" cm="1">
        <f t="array" aca="1" ref="L187" ca="1">thm_D_eff(C187,qi,Di,bi,bf,telf,bterm,tterm)</f>
        <v>6.4902812494880169E-2</v>
      </c>
      <c r="M187" cm="1">
        <f t="array" aca="1" ref="M187" ca="1">thm_b(C187,qi,Di,bi,bf,telf,bterm,tterm)</f>
        <v>0.3</v>
      </c>
      <c r="N187" cm="1">
        <f t="array" aca="1" ref="N187" ca="1">thm_monthly_vol(C187,qi,Di,bi,bf,telf,bterm,tterm)</f>
        <v>0.40931641328074875</v>
      </c>
      <c r="O187" cm="1">
        <f t="array" aca="1" ref="O187" ca="1">thm_cum($C187,qi,Di,bi,bf,telf,bterm,tterm)</f>
        <v>646.98867888738982</v>
      </c>
      <c r="Q187" cm="1">
        <f t="array" aca="1" ref="Q187" ca="1">thm_rate(C187,$F$3,$F$4,$F$5,$F$6,$F$7,$F$8,$F$9)</f>
        <v>13.409800047280735</v>
      </c>
    </row>
    <row r="188" spans="2:17" x14ac:dyDescent="0.25">
      <c r="B188" cm="1">
        <f t="array" ref="B188">B187+log_interval</f>
        <v>9.1527757446513167</v>
      </c>
      <c r="C188">
        <f t="shared" si="8"/>
        <v>9440.608762859094</v>
      </c>
      <c r="D188">
        <f ca="1"/>
        <v>12.175086570377209</v>
      </c>
      <c r="E188">
        <f ca="1"/>
        <v>1.8028399873483119E-4</v>
      </c>
      <c r="F188">
        <f ca="1"/>
        <v>0.3</v>
      </c>
      <c r="G188">
        <f ca="1"/>
        <v>653.73753814843076</v>
      </c>
      <c r="H188">
        <f t="shared" ca="1" si="7"/>
        <v>568.49198106458721</v>
      </c>
      <c r="J188" s="5" cm="1">
        <f t="array" aca="1" ref="J188" ca="1">thm_rate($C188,qi,Di,bi,bf,telf,bterm,tterm)</f>
        <v>12.175086570377209</v>
      </c>
      <c r="K188" s="5" cm="1">
        <f t="array" aca="1" ref="K188" ca="1">thm_D($C188,qi,Di,bi,bf,telf,bterm,tterm)</f>
        <v>1.8028399873483119E-4</v>
      </c>
      <c r="L188" s="3" cm="1">
        <f t="array" aca="1" ref="L188" ca="1">thm_D_eff(C188,qi,Di,bi,bf,telf,bterm,tterm)</f>
        <v>6.3126267489483356E-2</v>
      </c>
      <c r="M188" cm="1">
        <f t="array" aca="1" ref="M188" ca="1">thm_b(C188,qi,Di,bi,bf,telf,bterm,tterm)</f>
        <v>0.3</v>
      </c>
      <c r="N188" cm="1">
        <f t="array" aca="1" ref="N188" ca="1">thm_monthly_vol(C188,qi,Di,bi,bf,telf,bterm,tterm)</f>
        <v>0.37159837759224956</v>
      </c>
      <c r="O188" cm="1">
        <f t="array" aca="1" ref="O188" ca="1">thm_cum($C188,qi,Di,bi,bf,telf,bterm,tterm)</f>
        <v>653.73753814843076</v>
      </c>
      <c r="Q188" cm="1">
        <f t="array" aca="1" ref="Q188" ca="1">thm_rate(C188,$F$3,$F$4,$F$5,$F$6,$F$7,$F$8,$F$9)</f>
        <v>12.175086570377204</v>
      </c>
    </row>
    <row r="189" spans="2:17" x14ac:dyDescent="0.25">
      <c r="B189" cm="1">
        <f t="array" ref="B189">B188+log_interval</f>
        <v>9.2103403719761676</v>
      </c>
      <c r="C189">
        <f t="shared" si="8"/>
        <v>9999.999999999849</v>
      </c>
      <c r="D189">
        <f ca="1"/>
        <v>11.023595138057592</v>
      </c>
      <c r="E189">
        <f ca="1"/>
        <v>1.7498972201587839E-4</v>
      </c>
      <c r="F189">
        <f ca="1"/>
        <v>0.3</v>
      </c>
      <c r="G189">
        <f ca="1"/>
        <v>660.21917599440542</v>
      </c>
      <c r="H189">
        <f t="shared" ca="1" si="7"/>
        <v>574.12843135936089</v>
      </c>
      <c r="J189" s="5" cm="1">
        <f t="array" aca="1" ref="J189" ca="1">thm_rate($C189,qi,Di,bi,bf,telf,bterm,tterm)</f>
        <v>11.023595138057592</v>
      </c>
      <c r="K189" s="5" cm="1">
        <f t="array" aca="1" ref="K189" ca="1">thm_D($C189,qi,Di,bi,bf,telf,bterm,tterm)</f>
        <v>1.7498972201587839E-4</v>
      </c>
      <c r="L189" s="3" cm="1">
        <f t="array" aca="1" ref="L189" ca="1">thm_D_eff(C189,qi,Di,bi,bf,telf,bterm,tterm)</f>
        <v>6.1347505842998085E-2</v>
      </c>
      <c r="M189" cm="1">
        <f t="array" aca="1" ref="M189" ca="1">thm_b(C189,qi,Di,bi,bf,telf,bterm,tterm)</f>
        <v>0.3</v>
      </c>
      <c r="N189" cm="1">
        <f t="array" aca="1" ref="N189" ca="1">thm_monthly_vol(C189,qi,Di,bi,bf,telf,bterm,tterm)</f>
        <v>0.33642630386896144</v>
      </c>
      <c r="O189" cm="1">
        <f t="array" aca="1" ref="O189" ca="1">thm_cum($C189,qi,Di,bi,bf,telf,bterm,tterm)</f>
        <v>660.21917599440542</v>
      </c>
      <c r="Q189" cm="1">
        <f t="array" aca="1" ref="Q189" ca="1">thm_rate(C189,$F$3,$F$4,$F$5,$F$6,$F$7,$F$8,$F$9)</f>
        <v>11.023595138057587</v>
      </c>
    </row>
    <row r="190" spans="2:17" x14ac:dyDescent="0.25">
      <c r="B190" cm="1">
        <f t="array" ref="B190">B189+log_interval</f>
        <v>9.2679049993010185</v>
      </c>
      <c r="C190">
        <f t="shared" si="8"/>
        <v>10592.537251772726</v>
      </c>
      <c r="D190">
        <f ca="1"/>
        <v>9.9535578026102804</v>
      </c>
      <c r="E190">
        <f ca="1"/>
        <v>1.697106386228922E-4</v>
      </c>
      <c r="F190">
        <f ca="1"/>
        <v>0.3</v>
      </c>
      <c r="G190">
        <f ca="1"/>
        <v>666.42703607695535</v>
      </c>
      <c r="H190">
        <f t="shared" ca="1" si="7"/>
        <v>579.52680374974875</v>
      </c>
      <c r="J190" s="5" cm="1">
        <f t="array" aca="1" ref="J190" ca="1">thm_rate($C190,qi,Di,bi,bf,telf,bterm,tterm)</f>
        <v>9.9535578026102804</v>
      </c>
      <c r="K190" s="5" cm="1">
        <f t="array" aca="1" ref="K190" ca="1">thm_D($C190,qi,Di,bi,bf,telf,bterm,tterm)</f>
        <v>1.697106386228922E-4</v>
      </c>
      <c r="L190" s="3" cm="1">
        <f t="array" aca="1" ref="L190" ca="1">thm_D_eff(C190,qi,Di,bi,bf,telf,bterm,tterm)</f>
        <v>5.9569474889044183E-2</v>
      </c>
      <c r="M190" cm="1">
        <f t="array" aca="1" ref="M190" ca="1">thm_b(C190,qi,Di,bi,bf,telf,bterm,tterm)</f>
        <v>0.3</v>
      </c>
      <c r="N190" cm="1">
        <f t="array" aca="1" ref="N190" ca="1">thm_monthly_vol(C190,qi,Di,bi,bf,telf,bterm,tterm)</f>
        <v>0.30374565459544556</v>
      </c>
      <c r="O190" cm="1">
        <f t="array" aca="1" ref="O190" ca="1">thm_cum($C190,qi,Di,bi,bf,telf,bterm,tterm)</f>
        <v>666.42703607695535</v>
      </c>
      <c r="Q190" cm="1">
        <f t="array" aca="1" ref="Q190" ca="1">thm_rate(C190,$F$3,$F$4,$F$5,$F$6,$F$7,$F$8,$F$9)</f>
        <v>9.9535578026102751</v>
      </c>
    </row>
    <row r="191" spans="2:17" x14ac:dyDescent="0.25">
      <c r="B191" cm="1">
        <f t="array" ref="B191">B190+log_interval</f>
        <v>9.3254696266258694</v>
      </c>
      <c r="C191">
        <f t="shared" si="8"/>
        <v>11220.184543019459</v>
      </c>
      <c r="D191">
        <f ca="1"/>
        <v>8.9627594052984474</v>
      </c>
      <c r="E191">
        <f ca="1"/>
        <v>1.6445538031186881E-4</v>
      </c>
      <c r="F191">
        <f ca="1"/>
        <v>0.3</v>
      </c>
      <c r="G191">
        <f ca="1"/>
        <v>672.35636129911961</v>
      </c>
      <c r="H191">
        <f t="shared" ca="1" si="7"/>
        <v>584.6829614510051</v>
      </c>
      <c r="J191" s="5" cm="1">
        <f t="array" aca="1" ref="J191" ca="1">thm_rate($C191,qi,Di,bi,bf,telf,bterm,tterm)</f>
        <v>8.9627594052984474</v>
      </c>
      <c r="K191" s="5" cm="1">
        <f t="array" aca="1" ref="K191" ca="1">thm_D($C191,qi,Di,bi,bf,telf,bterm,tterm)</f>
        <v>1.6445538031186881E-4</v>
      </c>
      <c r="L191" s="3" cm="1">
        <f t="array" aca="1" ref="L191" ca="1">thm_D_eff(C191,qi,Di,bi,bf,telf,bterm,tterm)</f>
        <v>5.7795117109617822E-2</v>
      </c>
      <c r="M191" cm="1">
        <f t="array" aca="1" ref="M191" ca="1">thm_b(C191,qi,Di,bi,bf,telf,bterm,tterm)</f>
        <v>0.3</v>
      </c>
      <c r="N191" cm="1">
        <f t="array" aca="1" ref="N191" ca="1">thm_monthly_vol(C191,qi,Di,bi,bf,telf,bterm,tterm)</f>
        <v>0.27348824865191546</v>
      </c>
      <c r="O191" cm="1">
        <f t="array" aca="1" ref="O191" ca="1">thm_cum($C191,qi,Di,bi,bf,telf,bterm,tterm)</f>
        <v>672.35636129911961</v>
      </c>
      <c r="Q191" cm="1">
        <f t="array" aca="1" ref="Q191" ca="1">thm_rate(C191,$F$3,$F$4,$F$5,$F$6,$F$7,$F$8,$F$9)</f>
        <v>8.9627594052984438</v>
      </c>
    </row>
    <row r="192" spans="2:17" x14ac:dyDescent="0.25">
      <c r="B192" cm="1">
        <f t="array" ref="B192">B191+log_interval</f>
        <v>9.3830342539507203</v>
      </c>
      <c r="C192">
        <f t="shared" si="8"/>
        <v>11885.022274369996</v>
      </c>
      <c r="D192">
        <f ca="1"/>
        <v>8.0485897868318848</v>
      </c>
      <c r="E192">
        <f ca="1"/>
        <v>1.5923242268085043E-4</v>
      </c>
      <c r="F192">
        <f ca="1"/>
        <v>0.3</v>
      </c>
      <c r="G192">
        <f ca="1"/>
        <v>678.00417280009219</v>
      </c>
      <c r="H192">
        <f t="shared" ca="1" si="7"/>
        <v>589.59431403748954</v>
      </c>
      <c r="J192" s="5" cm="1">
        <f t="array" aca="1" ref="J192" ca="1">thm_rate($C192,qi,Di,bi,bf,telf,bterm,tterm)</f>
        <v>8.0485897868318848</v>
      </c>
      <c r="K192" s="5" cm="1">
        <f t="array" aca="1" ref="K192" ca="1">thm_D($C192,qi,Di,bi,bf,telf,bterm,tterm)</f>
        <v>1.5923242268085043E-4</v>
      </c>
      <c r="L192" s="3" cm="1">
        <f t="array" aca="1" ref="L192" ca="1">thm_D_eff(C192,qi,Di,bi,bf,telf,bterm,tterm)</f>
        <v>5.6027350687303468E-2</v>
      </c>
      <c r="M192" cm="1">
        <f t="array" aca="1" ref="M192" ca="1">thm_b(C192,qi,Di,bi,bf,telf,bterm,tterm)</f>
        <v>0.3</v>
      </c>
      <c r="N192" cm="1">
        <f t="array" aca="1" ref="N192" ca="1">thm_monthly_vol(C192,qi,Di,bi,bf,telf,bterm,tterm)</f>
        <v>0.24557386288188354</v>
      </c>
      <c r="O192" cm="1">
        <f t="array" aca="1" ref="O192" ca="1">thm_cum($C192,qi,Di,bi,bf,telf,bterm,tterm)</f>
        <v>678.00417280009219</v>
      </c>
      <c r="Q192" cm="1">
        <f t="array" aca="1" ref="Q192" ca="1">thm_rate(C192,$F$3,$F$4,$F$5,$F$6,$F$7,$F$8,$F$9)</f>
        <v>8.0485897868318812</v>
      </c>
    </row>
    <row r="193" spans="2:17" x14ac:dyDescent="0.25">
      <c r="B193" cm="1">
        <f t="array" ref="B193">B192+log_interval</f>
        <v>9.4405988812755712</v>
      </c>
      <c r="C193">
        <f t="shared" si="8"/>
        <v>12589.254117941469</v>
      </c>
      <c r="D193">
        <f ca="1"/>
        <v>7.208099177417127</v>
      </c>
      <c r="E193">
        <f ca="1"/>
        <v>1.5405003131210534E-4</v>
      </c>
      <c r="F193">
        <f ca="1"/>
        <v>0.3</v>
      </c>
      <c r="G193">
        <f ca="1"/>
        <v>683.3692252834461</v>
      </c>
      <c r="H193">
        <f t="shared" ca="1" si="7"/>
        <v>594.25977859596628</v>
      </c>
      <c r="J193" s="5" cm="1">
        <f t="array" aca="1" ref="J193" ca="1">thm_rate($C193,qi,Di,bi,bf,telf,bterm,tterm)</f>
        <v>7.208099177417127</v>
      </c>
      <c r="K193" s="5" cm="1">
        <f t="array" aca="1" ref="K193" ca="1">thm_D($C193,qi,Di,bi,bf,telf,bterm,tterm)</f>
        <v>1.5405003131210534E-4</v>
      </c>
      <c r="L193" s="3" cm="1">
        <f t="array" aca="1" ref="L193" ca="1">thm_D_eff(C193,qi,Di,bi,bf,telf,bterm,tterm)</f>
        <v>5.4269050398421559E-2</v>
      </c>
      <c r="M193" cm="1">
        <f t="array" aca="1" ref="M193" ca="1">thm_b(C193,qi,Di,bi,bf,telf,bterm,tterm)</f>
        <v>0.3</v>
      </c>
      <c r="N193" cm="1">
        <f t="array" aca="1" ref="N193" ca="1">thm_monthly_vol(C193,qi,Di,bi,bf,telf,bterm,tterm)</f>
        <v>0.21991192971961482</v>
      </c>
      <c r="O193" cm="1">
        <f t="array" aca="1" ref="O193" ca="1">thm_cum($C193,qi,Di,bi,bf,telf,bterm,tterm)</f>
        <v>683.3692252834461</v>
      </c>
      <c r="Q193" cm="1">
        <f t="array" aca="1" ref="Q193" ca="1">thm_rate(C193,$F$3,$F$4,$F$5,$F$6,$F$7,$F$8,$F$9)</f>
        <v>7.2080991774171235</v>
      </c>
    </row>
    <row r="194" spans="2:17" x14ac:dyDescent="0.25">
      <c r="B194" cm="1">
        <f t="array" ref="B194">B193+log_interval</f>
        <v>9.4981635086004221</v>
      </c>
      <c r="C194">
        <f t="shared" si="8"/>
        <v>13335.214321633022</v>
      </c>
      <c r="D194">
        <f ca="1"/>
        <v>6.4380553627871198</v>
      </c>
      <c r="E194">
        <f ca="1"/>
        <v>1.4891621079266712E-4</v>
      </c>
      <c r="F194">
        <f ca="1"/>
        <v>0.3</v>
      </c>
      <c r="G194">
        <f ca="1"/>
        <v>688.4519404628054</v>
      </c>
      <c r="H194">
        <f t="shared" ca="1" si="7"/>
        <v>598.67972184977555</v>
      </c>
      <c r="J194" s="5" cm="1">
        <f t="array" aca="1" ref="J194" ca="1">thm_rate($C194,qi,Di,bi,bf,telf,bterm,tterm)</f>
        <v>6.4380553627871198</v>
      </c>
      <c r="K194" s="5" cm="1">
        <f t="array" aca="1" ref="K194" ca="1">thm_D($C194,qi,Di,bi,bf,telf,bterm,tterm)</f>
        <v>1.4891621079266712E-4</v>
      </c>
      <c r="L194" s="3" cm="1">
        <f t="array" aca="1" ref="L194" ca="1">thm_D_eff(C194,qi,Di,bi,bf,telf,bterm,tterm)</f>
        <v>5.2523029111449904E-2</v>
      </c>
      <c r="M194" cm="1">
        <f t="array" aca="1" ref="M194" ca="1">thm_b(C194,qi,Di,bi,bf,telf,bterm,tterm)</f>
        <v>0.3</v>
      </c>
      <c r="N194" cm="1">
        <f t="array" aca="1" ref="N194" ca="1">thm_monthly_vol(C194,qi,Di,bi,bf,telf,bterm,tterm)</f>
        <v>0.19640328793229855</v>
      </c>
      <c r="O194" cm="1">
        <f t="array" aca="1" ref="O194" ca="1">thm_cum($C194,qi,Di,bi,bf,telf,bterm,tterm)</f>
        <v>688.4519404628054</v>
      </c>
      <c r="Q194" cm="1">
        <f t="array" aca="1" ref="Q194" ca="1">thm_rate(C194,$F$3,$F$4,$F$5,$F$6,$F$7,$F$8,$F$9)</f>
        <v>6.4380553627871171</v>
      </c>
    </row>
    <row r="195" spans="2:17" x14ac:dyDescent="0.25">
      <c r="B195" cm="1">
        <f t="array" ref="B195">B194+log_interval</f>
        <v>9.555728135925273</v>
      </c>
      <c r="C195">
        <f t="shared" si="8"/>
        <v>14125.37544622731</v>
      </c>
      <c r="D195">
        <f ca="1"/>
        <v>5.7350012640392354</v>
      </c>
      <c r="E195">
        <f ca="1"/>
        <v>1.4383865726074881E-4</v>
      </c>
      <c r="F195">
        <f ca="1"/>
        <v>0.3</v>
      </c>
      <c r="G195">
        <f ca="1"/>
        <v>693.25432085171826</v>
      </c>
      <c r="H195">
        <f t="shared" ca="1" si="7"/>
        <v>602.85588519026726</v>
      </c>
      <c r="J195" s="5" cm="1">
        <f t="array" aca="1" ref="J195" ca="1">thm_rate($C195,qi,Di,bi,bf,telf,bterm,tterm)</f>
        <v>5.7350012640392354</v>
      </c>
      <c r="K195" s="5" cm="1">
        <f t="array" aca="1" ref="K195" ca="1">thm_D($C195,qi,Di,bi,bf,telf,bterm,tterm)</f>
        <v>1.4383865726074881E-4</v>
      </c>
      <c r="L195" s="3" cm="1">
        <f t="array" aca="1" ref="L195" ca="1">thm_D_eff(C195,qi,Di,bi,bf,telf,bterm,tterm)</f>
        <v>5.0792020140635996E-2</v>
      </c>
      <c r="M195" cm="1">
        <f t="array" aca="1" ref="M195" ca="1">thm_b(C195,qi,Di,bi,bf,telf,bterm,tterm)</f>
        <v>0.3</v>
      </c>
      <c r="N195" cm="1">
        <f t="array" aca="1" ref="N195" ca="1">thm_monthly_vol(C195,qi,Di,bi,bf,telf,bterm,tterm)</f>
        <v>0.17494194484004311</v>
      </c>
      <c r="O195" cm="1">
        <f t="array" aca="1" ref="O195" ca="1">thm_cum($C195,qi,Di,bi,bf,telf,bterm,tterm)</f>
        <v>693.25432085171826</v>
      </c>
      <c r="Q195" cm="1">
        <f t="array" aca="1" ref="Q195" ca="1">thm_rate(C195,$F$3,$F$4,$F$5,$F$6,$F$7,$F$8,$F$9)</f>
        <v>5.7350012640392327</v>
      </c>
    </row>
    <row r="196" spans="2:17" x14ac:dyDescent="0.25">
      <c r="B196" cm="1">
        <f t="array" ref="B196">B195+log_interval</f>
        <v>9.6132927632501239</v>
      </c>
      <c r="C196">
        <f t="shared" si="8"/>
        <v>14962.356560944083</v>
      </c>
      <c r="D196">
        <f ca="1"/>
        <v>5.0953116548744486</v>
      </c>
      <c r="E196">
        <f ca="1"/>
        <v>1.3882471504486049E-4</v>
      </c>
      <c r="F196">
        <f ca="1"/>
        <v>0.3</v>
      </c>
      <c r="G196">
        <f ca="1"/>
        <v>697.77984648885922</v>
      </c>
      <c r="H196">
        <f t="shared" ca="1" si="7"/>
        <v>606.79129486875001</v>
      </c>
      <c r="J196" s="5" cm="1">
        <f t="array" aca="1" ref="J196" ca="1">thm_rate($C196,qi,Di,bi,bf,telf,bterm,tterm)</f>
        <v>5.0953116548744486</v>
      </c>
      <c r="K196" s="5" cm="1">
        <f t="array" aca="1" ref="K196" ca="1">thm_D($C196,qi,Di,bi,bf,telf,bterm,tterm)</f>
        <v>1.3882471504486049E-4</v>
      </c>
      <c r="L196" s="3" cm="1">
        <f t="array" aca="1" ref="L196" ca="1">thm_D_eff(C196,qi,Di,bi,bf,telf,bterm,tterm)</f>
        <v>4.9078660684580111E-2</v>
      </c>
      <c r="M196" cm="1">
        <f t="array" aca="1" ref="M196" ca="1">thm_b(C196,qi,Di,bi,bf,telf,bterm,tterm)</f>
        <v>0.3</v>
      </c>
      <c r="N196" cm="1">
        <f t="array" aca="1" ref="N196" ca="1">thm_monthly_vol(C196,qi,Di,bi,bf,telf,bterm,tterm)</f>
        <v>0.1554168110401406</v>
      </c>
      <c r="O196" cm="1">
        <f t="array" aca="1" ref="O196" ca="1">thm_cum($C196,qi,Di,bi,bf,telf,bterm,tterm)</f>
        <v>697.77984648885922</v>
      </c>
      <c r="Q196" cm="1">
        <f t="array" aca="1" ref="Q196" ca="1">thm_rate(C196,$F$3,$F$4,$F$5,$F$6,$F$7,$F$8,$F$9)</f>
        <v>5.0953116548744459</v>
      </c>
    </row>
    <row r="197" spans="2:17" x14ac:dyDescent="0.25">
      <c r="B197" cm="1">
        <f t="array" ref="B197">B196+log_interval</f>
        <v>9.6708573905749748</v>
      </c>
      <c r="C197">
        <f t="shared" si="8"/>
        <v>15848.931924610864</v>
      </c>
      <c r="D197">
        <f ca="1"/>
        <v>4.5152478631543991</v>
      </c>
      <c r="E197">
        <f ca="1"/>
        <v>1.3388133787096734E-4</v>
      </c>
      <c r="F197">
        <f ca="1"/>
        <v>0.3</v>
      </c>
      <c r="G197">
        <f ca="1"/>
        <v>702.03335745680681</v>
      </c>
      <c r="H197">
        <f t="shared" ca="1" si="7"/>
        <v>610.49015983449328</v>
      </c>
      <c r="J197" s="5" cm="1">
        <f t="array" aca="1" ref="J197" ca="1">thm_rate($C197,qi,Di,bi,bf,telf,bterm,tterm)</f>
        <v>4.5152478631543991</v>
      </c>
      <c r="K197" s="5" cm="1">
        <f t="array" aca="1" ref="K197" ca="1">thm_D($C197,qi,Di,bi,bf,telf,bterm,tterm)</f>
        <v>1.3388133787096734E-4</v>
      </c>
      <c r="L197" s="3" cm="1">
        <f t="array" aca="1" ref="L197" ca="1">thm_D_eff(C197,qi,Di,bi,bf,telf,bterm,tterm)</f>
        <v>4.7385476554424932E-2</v>
      </c>
      <c r="M197" cm="1">
        <f t="array" aca="1" ref="M197" ca="1">thm_b(C197,qi,Di,bi,bf,telf,bterm,tterm)</f>
        <v>0.3</v>
      </c>
      <c r="N197" cm="1">
        <f t="array" aca="1" ref="N197" ca="1">thm_monthly_vol(C197,qi,Di,bi,bf,telf,bterm,tterm)</f>
        <v>0.13771337246726034</v>
      </c>
      <c r="O197" cm="1">
        <f t="array" aca="1" ref="O197" ca="1">thm_cum($C197,qi,Di,bi,bf,telf,bterm,tterm)</f>
        <v>702.03335745680681</v>
      </c>
      <c r="Q197" cm="1">
        <f t="array" aca="1" ref="Q197" ca="1">thm_rate(C197,$F$3,$F$4,$F$5,$F$6,$F$7,$F$8,$F$9)</f>
        <v>4.5152478631543964</v>
      </c>
    </row>
    <row r="198" spans="2:17" x14ac:dyDescent="0.25">
      <c r="B198" cm="1">
        <f t="array" ref="B198">B197+log_interval</f>
        <v>9.7284220178998257</v>
      </c>
      <c r="C198">
        <f t="shared" si="8"/>
        <v>16788.040181225315</v>
      </c>
      <c r="D198">
        <f ca="1"/>
        <v>3.9910094564563066</v>
      </c>
      <c r="E198">
        <f ca="1"/>
        <v>1.2901505501379624E-4</v>
      </c>
      <c r="F198">
        <f ca="1"/>
        <v>0.3</v>
      </c>
      <c r="G198">
        <f ca="1"/>
        <v>706.0209252183829</v>
      </c>
      <c r="H198">
        <f t="shared" ca="1" si="7"/>
        <v>613.95775984845022</v>
      </c>
      <c r="J198" s="5" cm="1">
        <f t="array" aca="1" ref="J198" ca="1">thm_rate($C198,qi,Di,bi,bf,telf,bterm,tterm)</f>
        <v>3.9910094564563066</v>
      </c>
      <c r="K198" s="5" cm="1">
        <f t="array" aca="1" ref="K198" ca="1">thm_D($C198,qi,Di,bi,bf,telf,bterm,tterm)</f>
        <v>1.2901505501379624E-4</v>
      </c>
      <c r="L198" s="3" cm="1">
        <f t="array" aca="1" ref="L198" ca="1">thm_D_eff(C198,qi,Di,bi,bf,telf,bterm,tterm)</f>
        <v>4.5714868367063399E-2</v>
      </c>
      <c r="M198" cm="1">
        <f t="array" aca="1" ref="M198" ca="1">thm_b(C198,qi,Di,bi,bf,telf,bterm,tterm)</f>
        <v>0.3</v>
      </c>
      <c r="N198" cm="1">
        <f t="array" aca="1" ref="N198" ca="1">thm_monthly_vol(C198,qi,Di,bi,bf,telf,bterm,tterm)</f>
        <v>0.12171526931638255</v>
      </c>
      <c r="O198" cm="1">
        <f t="array" aca="1" ref="O198" ca="1">thm_cum($C198,qi,Di,bi,bf,telf,bterm,tterm)</f>
        <v>706.0209252183829</v>
      </c>
      <c r="Q198" cm="1">
        <f t="array" aca="1" ref="Q198" ca="1">thm_rate(C198,$F$3,$F$4,$F$5,$F$6,$F$7,$F$8,$F$9)</f>
        <v>3.9910094564563043</v>
      </c>
    </row>
    <row r="199" spans="2:17" x14ac:dyDescent="0.25">
      <c r="B199" cm="1">
        <f t="array" ref="B199">B198+log_interval</f>
        <v>9.7859866452246766</v>
      </c>
      <c r="C199">
        <f t="shared" si="8"/>
        <v>17782.794100388917</v>
      </c>
      <c r="D199">
        <f ca="1"/>
        <v>3.5187820846223197</v>
      </c>
      <c r="E199">
        <f ca="1"/>
        <v>1.2423194266462635E-4</v>
      </c>
      <c r="F199">
        <f ca="1"/>
        <v>0.3</v>
      </c>
      <c r="G199">
        <f ca="1"/>
        <v>709.74971585950721</v>
      </c>
      <c r="H199">
        <f t="shared" ca="1" si="7"/>
        <v>617.20032655886382</v>
      </c>
      <c r="J199" s="5" cm="1">
        <f t="array" aca="1" ref="J199" ca="1">thm_rate($C199,qi,Di,bi,bf,telf,bterm,tterm)</f>
        <v>3.5187820846223197</v>
      </c>
      <c r="K199" s="5" cm="1">
        <f t="array" aca="1" ref="K199" ca="1">thm_D($C199,qi,Di,bi,bf,telf,bterm,tterm)</f>
        <v>1.2423194266462635E-4</v>
      </c>
      <c r="L199" s="3" cm="1">
        <f t="array" aca="1" ref="L199" ca="1">thm_D_eff(C199,qi,Di,bi,bf,telf,bterm,tterm)</f>
        <v>4.4069099346393026E-2</v>
      </c>
      <c r="M199" cm="1">
        <f t="array" aca="1" ref="M199" ca="1">thm_b(C199,qi,Di,bi,bf,telf,bterm,tterm)</f>
        <v>0.3</v>
      </c>
      <c r="N199" cm="1">
        <f t="array" aca="1" ref="N199" ca="1">thm_monthly_vol(C199,qi,Di,bi,bf,telf,bterm,tterm)</f>
        <v>0.10730575668094389</v>
      </c>
      <c r="O199" cm="1">
        <f t="array" aca="1" ref="O199" ca="1">thm_cum($C199,qi,Di,bi,bf,telf,bterm,tterm)</f>
        <v>709.74971585950721</v>
      </c>
      <c r="Q199" cm="1">
        <f t="array" aca="1" ref="Q199" ca="1">thm_rate(C199,$F$3,$F$4,$F$5,$F$6,$F$7,$F$8,$F$9)</f>
        <v>3.5187820846223179</v>
      </c>
    </row>
    <row r="200" spans="2:17" x14ac:dyDescent="0.25">
      <c r="B200" cm="1">
        <f t="array" ref="B200">B199+log_interval</f>
        <v>9.8435512725495276</v>
      </c>
      <c r="C200">
        <f t="shared" si="8"/>
        <v>18836.49089489767</v>
      </c>
      <c r="D200">
        <f ca="1"/>
        <v>3.0947808371006538</v>
      </c>
      <c r="E200">
        <f ca="1"/>
        <v>1.1953760068278833E-4</v>
      </c>
      <c r="F200">
        <f ca="1"/>
        <v>0.3</v>
      </c>
      <c r="G200">
        <f ca="1"/>
        <v>713.22784829661157</v>
      </c>
      <c r="H200">
        <f t="shared" ca="1" si="7"/>
        <v>620.22492019804008</v>
      </c>
      <c r="J200" s="5" cm="1">
        <f t="array" aca="1" ref="J200" ca="1">thm_rate($C200,qi,Di,bi,bf,telf,bterm,tterm)</f>
        <v>3.0947808371006538</v>
      </c>
      <c r="K200" s="5" cm="1">
        <f t="array" aca="1" ref="K200" ca="1">thm_D($C200,qi,Di,bi,bf,telf,bterm,tterm)</f>
        <v>1.1953760068278833E-4</v>
      </c>
      <c r="L200" s="3" cm="1">
        <f t="array" aca="1" ref="L200" ca="1">thm_D_eff(C200,qi,Di,bi,bf,telf,bterm,tterm)</f>
        <v>4.2450284841241692E-2</v>
      </c>
      <c r="M200" cm="1">
        <f t="array" aca="1" ref="M200" ca="1">thm_b(C200,qi,Di,bi,bf,telf,bterm,tterm)</f>
        <v>0.3</v>
      </c>
      <c r="N200" cm="1">
        <f t="array" aca="1" ref="N200" ca="1">thm_monthly_vol(C200,qi,Di,bi,bf,telf,bterm,tterm)</f>
        <v>9.4369027412426476E-2</v>
      </c>
      <c r="O200" cm="1">
        <f t="array" aca="1" ref="O200" ca="1">thm_cum($C200,qi,Di,bi,bf,telf,bterm,tterm)</f>
        <v>713.22784829661157</v>
      </c>
      <c r="Q200" cm="1">
        <f t="array" aca="1" ref="Q200" ca="1">thm_rate(C200,$F$3,$F$4,$F$5,$F$6,$F$7,$F$8,$F$9)</f>
        <v>3.0947808371006524</v>
      </c>
    </row>
    <row r="201" spans="2:17" x14ac:dyDescent="0.25">
      <c r="B201" cm="1">
        <f t="array" ref="B201">B200+log_interval</f>
        <v>9.9011158998743785</v>
      </c>
      <c r="C201">
        <f t="shared" si="8"/>
        <v>19952.623149688436</v>
      </c>
      <c r="D201">
        <f ca="1"/>
        <v>2.7152886604417827</v>
      </c>
      <c r="E201">
        <f ca="1"/>
        <v>1.1493713479470021E-4</v>
      </c>
      <c r="F201">
        <f ca="1"/>
        <v>0.3</v>
      </c>
      <c r="G201">
        <f ca="1"/>
        <v>716.46425038853215</v>
      </c>
      <c r="H201">
        <f t="shared" ca="1" si="7"/>
        <v>623.0393044568491</v>
      </c>
      <c r="J201" s="5" cm="1">
        <f t="array" aca="1" ref="J201" ca="1">thm_rate($C201,qi,Di,bi,bf,telf,bterm,tterm)</f>
        <v>2.7152886604417827</v>
      </c>
      <c r="K201" s="5" cm="1">
        <f t="array" aca="1" ref="K201" ca="1">thm_D($C201,qi,Di,bi,bf,telf,bterm,tterm)</f>
        <v>1.1493713479470021E-4</v>
      </c>
      <c r="L201" s="3" cm="1">
        <f t="array" aca="1" ref="L201" ca="1">thm_D_eff(C201,qi,Di,bi,bf,telf,bterm,tterm)</f>
        <v>4.0860383633200215E-2</v>
      </c>
      <c r="M201" cm="1">
        <f t="array" aca="1" ref="M201" ca="1">thm_b(C201,qi,Di,bi,bf,telf,bterm,tterm)</f>
        <v>0.3</v>
      </c>
      <c r="N201" cm="1">
        <f t="array" aca="1" ref="N201" ca="1">thm_monthly_vol(C201,qi,Di,bi,bf,telf,bterm,tterm)</f>
        <v>8.2791383457106349E-2</v>
      </c>
      <c r="O201" cm="1">
        <f t="array" aca="1" ref="O201" ca="1">thm_cum($C201,qi,Di,bi,bf,telf,bterm,tterm)</f>
        <v>716.46425038853215</v>
      </c>
      <c r="Q201" cm="1">
        <f t="array" aca="1" ref="Q201" ca="1">thm_rate(C201,$F$3,$F$4,$F$5,$F$6,$F$7,$F$8,$F$9)</f>
        <v>2.715288660441781</v>
      </c>
    </row>
    <row r="202" spans="2:17" x14ac:dyDescent="0.25">
      <c r="B202" cm="1">
        <f t="array" ref="B202">B201+log_interval</f>
        <v>9.9586805271992294</v>
      </c>
      <c r="C202">
        <f t="shared" si="8"/>
        <v>21134.890398366082</v>
      </c>
      <c r="D202">
        <f ca="1"/>
        <v>2.3766895637328167</v>
      </c>
      <c r="E202">
        <f ca="1"/>
        <v>1.1043514420540017E-4</v>
      </c>
      <c r="F202">
        <f ca="1"/>
        <v>0.3</v>
      </c>
      <c r="G202">
        <f ca="1"/>
        <v>719.4685156990779</v>
      </c>
      <c r="H202">
        <f t="shared" ca="1" si="7"/>
        <v>625.65182192505665</v>
      </c>
      <c r="J202" s="5" cm="1">
        <f t="array" aca="1" ref="J202" ca="1">thm_rate($C202,qi,Di,bi,bf,telf,bterm,tterm)</f>
        <v>2.3766895637328167</v>
      </c>
      <c r="K202" s="5" cm="1">
        <f t="array" aca="1" ref="K202" ca="1">thm_D($C202,qi,Di,bi,bf,telf,bterm,tterm)</f>
        <v>1.1043514420540017E-4</v>
      </c>
      <c r="L202" s="3" cm="1">
        <f t="array" aca="1" ref="L202" ca="1">thm_D_eff(C202,qi,Di,bi,bf,telf,bterm,tterm)</f>
        <v>3.9301191072329322E-2</v>
      </c>
      <c r="M202" cm="1">
        <f t="array" aca="1" ref="M202" ca="1">thm_b(C202,qi,Di,bi,bf,telf,bterm,tterm)</f>
        <v>0.3</v>
      </c>
      <c r="N202" cm="1">
        <f t="array" aca="1" ref="N202" ca="1">thm_monthly_vol(C202,qi,Di,bi,bf,telf,bterm,tterm)</f>
        <v>7.2462247492694587E-2</v>
      </c>
      <c r="O202" cm="1">
        <f t="array" aca="1" ref="O202" ca="1">thm_cum($C202,qi,Di,bi,bf,telf,bterm,tterm)</f>
        <v>719.4685156990779</v>
      </c>
      <c r="Q202" cm="1">
        <f t="array" aca="1" ref="Q202" ca="1">thm_rate(C202,$F$3,$F$4,$F$5,$F$6,$F$7,$F$8,$F$9)</f>
        <v>2.3766895637328158</v>
      </c>
    </row>
    <row r="203" spans="2:17" x14ac:dyDescent="0.25">
      <c r="B203" cm="1">
        <f t="array" ref="B203">B202+log_interval</f>
        <v>10.01624515452408</v>
      </c>
      <c r="C203">
        <f t="shared" si="8"/>
        <v>22387.211385682982</v>
      </c>
      <c r="D203">
        <f ca="1"/>
        <v>2.0754965102741361</v>
      </c>
      <c r="E203">
        <f ca="1"/>
        <v>1.0603571449564952E-4</v>
      </c>
      <c r="F203">
        <f ca="1"/>
        <v>0.3</v>
      </c>
      <c r="G203">
        <f ca="1"/>
        <v>722.25076340090243</v>
      </c>
      <c r="H203">
        <f t="shared" ca="1" si="7"/>
        <v>628.07127226334126</v>
      </c>
      <c r="J203" s="5" cm="1">
        <f t="array" aca="1" ref="J203" ca="1">thm_rate($C203,qi,Di,bi,bf,telf,bterm,tterm)</f>
        <v>2.0754965102741361</v>
      </c>
      <c r="K203" s="5" cm="1">
        <f t="array" aca="1" ref="K203" ca="1">thm_D($C203,qi,Di,bi,bf,telf,bterm,tterm)</f>
        <v>1.0603571449564952E-4</v>
      </c>
      <c r="L203" s="3" cm="1">
        <f t="array" aca="1" ref="L203" ca="1">thm_D_eff(C203,qi,Di,bi,bf,telf,bterm,tterm)</f>
        <v>3.7774334044505142E-2</v>
      </c>
      <c r="M203" cm="1">
        <f t="array" aca="1" ref="M203" ca="1">thm_b(C203,qi,Di,bi,bf,telf,bterm,tterm)</f>
        <v>0.3</v>
      </c>
      <c r="N203" cm="1">
        <f t="array" aca="1" ref="N203" ca="1">thm_monthly_vol(C203,qi,Di,bi,bf,telf,bterm,tterm)</f>
        <v>6.3275011900827849E-2</v>
      </c>
      <c r="O203" cm="1">
        <f t="array" aca="1" ref="O203" ca="1">thm_cum($C203,qi,Di,bi,bf,telf,bterm,tterm)</f>
        <v>722.25076340090243</v>
      </c>
      <c r="Q203" cm="1">
        <f t="array" aca="1" ref="Q203" ca="1">thm_rate(C203,$F$3,$F$4,$F$5,$F$6,$F$7,$F$8,$F$9)</f>
        <v>2.0754965102741352</v>
      </c>
    </row>
    <row r="204" spans="2:17" x14ac:dyDescent="0.25">
      <c r="B204" cm="1">
        <f t="array" ref="B204">B203+log_interval</f>
        <v>10.073809781848931</v>
      </c>
      <c r="C204">
        <f t="shared" si="8"/>
        <v>23713.737056616108</v>
      </c>
      <c r="D204">
        <f ca="1"/>
        <v>1.8083740470636158</v>
      </c>
      <c r="E204">
        <f ca="1"/>
        <v>1.0174241559480944E-4</v>
      </c>
      <c r="F204">
        <f ca="1"/>
        <v>0.3</v>
      </c>
      <c r="G204">
        <f ca="1"/>
        <v>724.82150350885536</v>
      </c>
      <c r="H204">
        <f t="shared" ca="1" si="7"/>
        <v>630.30679500984229</v>
      </c>
      <c r="J204" s="5" cm="1">
        <f t="array" aca="1" ref="J204" ca="1">thm_rate($C204,qi,Di,bi,bf,telf,bterm,tterm)</f>
        <v>1.8083740470636158</v>
      </c>
      <c r="K204" s="5" cm="1">
        <f t="array" aca="1" ref="K204" ca="1">thm_D($C204,qi,Di,bi,bf,telf,bterm,tterm)</f>
        <v>1.0174241559480944E-4</v>
      </c>
      <c r="L204" s="3" cm="1">
        <f t="array" aca="1" ref="L204" ca="1">thm_D_eff(C204,qi,Di,bi,bf,telf,bterm,tterm)</f>
        <v>3.6281267741982148E-2</v>
      </c>
      <c r="M204" cm="1">
        <f t="array" aca="1" ref="M204" ca="1">thm_b(C204,qi,Di,bi,bf,telf,bterm,tterm)</f>
        <v>0.3</v>
      </c>
      <c r="N204" cm="1">
        <f t="array" aca="1" ref="N204" ca="1">thm_monthly_vol(C204,qi,Di,bi,bf,telf,bterm,tterm)</f>
        <v>5.5127726779119257E-2</v>
      </c>
      <c r="O204" cm="1">
        <f t="array" aca="1" ref="O204" ca="1">thm_cum($C204,qi,Di,bi,bf,telf,bterm,tterm)</f>
        <v>724.82150350885536</v>
      </c>
      <c r="Q204" cm="1">
        <f t="array" aca="1" ref="Q204" ca="1">thm_rate(C204,$F$3,$F$4,$F$5,$F$6,$F$7,$F$8,$F$9)</f>
        <v>1.8083740470636149</v>
      </c>
    </row>
    <row r="205" spans="2:17" x14ac:dyDescent="0.25">
      <c r="B205" cm="1">
        <f t="array" ref="B205">B204+log_interval</f>
        <v>10.131374409173782</v>
      </c>
      <c r="C205">
        <f t="shared" si="8"/>
        <v>25118.864315095325</v>
      </c>
      <c r="D205">
        <f ca="1"/>
        <v>1.5721558558009516</v>
      </c>
      <c r="E205">
        <f ca="1"/>
        <v>9.7558304547411097E-5</v>
      </c>
      <c r="F205">
        <f ca="1"/>
        <v>0.3</v>
      </c>
      <c r="G205">
        <f ca="1"/>
        <v>727.19150929699026</v>
      </c>
      <c r="H205">
        <f t="shared" ca="1" si="7"/>
        <v>632.36775863363437</v>
      </c>
      <c r="J205" s="5" cm="1">
        <f t="array" aca="1" ref="J205" ca="1">thm_rate($C205,qi,Di,bi,bf,telf,bterm,tterm)</f>
        <v>1.5721558558009516</v>
      </c>
      <c r="K205" s="5" cm="1">
        <f t="array" aca="1" ref="K205" ca="1">thm_D($C205,qi,Di,bi,bf,telf,bterm,tterm)</f>
        <v>9.7558304547411097E-5</v>
      </c>
      <c r="L205" s="3" cm="1">
        <f t="array" aca="1" ref="L205" ca="1">thm_D_eff(C205,qi,Di,bi,bf,telf,bterm,tterm)</f>
        <v>3.4823274179268893E-2</v>
      </c>
      <c r="M205" cm="1">
        <f t="array" aca="1" ref="M205" ca="1">thm_b(C205,qi,Di,bi,bf,telf,bterm,tterm)</f>
        <v>0.3</v>
      </c>
      <c r="N205" cm="1">
        <f t="array" aca="1" ref="N205" ca="1">thm_monthly_vol(C205,qi,Di,bi,bf,telf,bterm,tterm)</f>
        <v>4.7923632726906362E-2</v>
      </c>
      <c r="O205" cm="1">
        <f t="array" aca="1" ref="O205" ca="1">thm_cum($C205,qi,Di,bi,bf,telf,bterm,tterm)</f>
        <v>727.19150929699026</v>
      </c>
      <c r="Q205" cm="1">
        <f t="array" aca="1" ref="Q205" ca="1">thm_rate(C205,$F$3,$F$4,$F$5,$F$6,$F$7,$F$8,$F$9)</f>
        <v>1.5721558558009507</v>
      </c>
    </row>
    <row r="206" spans="2:17" x14ac:dyDescent="0.25">
      <c r="B206" cm="1">
        <f t="array" ref="B206">B205+log_interval</f>
        <v>10.188939036498633</v>
      </c>
      <c r="C206">
        <f t="shared" si="8"/>
        <v>26607.250597987586</v>
      </c>
      <c r="D206">
        <f ca="1"/>
        <v>1.3638575178126919</v>
      </c>
      <c r="E206">
        <f ca="1"/>
        <v>9.3485932730718091E-5</v>
      </c>
      <c r="F206">
        <f ca="1"/>
        <v>0.3</v>
      </c>
      <c r="G206">
        <f ca="1"/>
        <v>729.37169840274464</v>
      </c>
      <c r="H206">
        <f t="shared" ca="1" si="7"/>
        <v>634.26365714259282</v>
      </c>
      <c r="J206" s="5" cm="1">
        <f t="array" aca="1" ref="J206" ca="1">thm_rate($C206,qi,Di,bi,bf,telf,bterm,tterm)</f>
        <v>1.3638575178126919</v>
      </c>
      <c r="K206" s="5" cm="1">
        <f t="array" aca="1" ref="K206" ca="1">thm_D($C206,qi,Di,bi,bf,telf,bterm,tterm)</f>
        <v>9.3485932730718091E-5</v>
      </c>
      <c r="L206" s="3" cm="1">
        <f t="array" aca="1" ref="L206" ca="1">thm_D_eff(C206,qi,Di,bi,bf,telf,bterm,tterm)</f>
        <v>3.3401462370316715E-2</v>
      </c>
      <c r="M206" cm="1">
        <f t="array" aca="1" ref="M206" ca="1">thm_b(C206,qi,Di,bi,bf,telf,bterm,tterm)</f>
        <v>0.3</v>
      </c>
      <c r="N206" cm="1">
        <f t="array" aca="1" ref="N206" ca="1">thm_monthly_vol(C206,qi,Di,bi,bf,telf,bterm,tterm)</f>
        <v>4.1571547437229128E-2</v>
      </c>
      <c r="O206" cm="1">
        <f t="array" aca="1" ref="O206" ca="1">thm_cum($C206,qi,Di,bi,bf,telf,bterm,tterm)</f>
        <v>729.37169840274464</v>
      </c>
      <c r="Q206" cm="1">
        <f t="array" aca="1" ref="Q206" ca="1">thm_rate(C206,$F$3,$F$4,$F$5,$F$6,$F$7,$F$8,$F$9)</f>
        <v>1.3638575178126913</v>
      </c>
    </row>
    <row r="207" spans="2:17" x14ac:dyDescent="0.25">
      <c r="B207" cm="1">
        <f t="array" ref="B207">B206+log_interval</f>
        <v>10.246503663823484</v>
      </c>
      <c r="C207">
        <f t="shared" si="8"/>
        <v>28183.829312643989</v>
      </c>
      <c r="D207">
        <f ca="1"/>
        <v>1.1806848696006866</v>
      </c>
      <c r="E207">
        <f ca="1"/>
        <v>8.9527357132224725E-5</v>
      </c>
      <c r="F207">
        <f ca="1"/>
        <v>0.3</v>
      </c>
      <c r="G207">
        <f ca="1"/>
        <v>731.37302376832304</v>
      </c>
      <c r="H207">
        <f t="shared" ca="1" si="7"/>
        <v>636.004015245716</v>
      </c>
      <c r="J207" s="5" cm="1">
        <f t="array" aca="1" ref="J207" ca="1">thm_rate($C207,qi,Di,bi,bf,telf,bterm,tterm)</f>
        <v>1.1806848696006866</v>
      </c>
      <c r="K207" s="5" cm="1">
        <f t="array" aca="1" ref="K207" ca="1">thm_D($C207,qi,Di,bi,bf,telf,bterm,tterm)</f>
        <v>8.9527357132224725E-5</v>
      </c>
      <c r="L207" s="3" cm="1">
        <f t="array" aca="1" ref="L207" ca="1">thm_D_eff(C207,qi,Di,bi,bf,telf,bterm,tterm)</f>
        <v>3.2016770060671829E-2</v>
      </c>
      <c r="M207" cm="1">
        <f t="array" aca="1" ref="M207" ca="1">thm_b(C207,qi,Di,bi,bf,telf,bterm,tterm)</f>
        <v>0.3</v>
      </c>
      <c r="N207" cm="1">
        <f t="array" aca="1" ref="N207" ca="1">thm_monthly_vol(C207,qi,Di,bi,bf,telf,bterm,tterm)</f>
        <v>3.5986117693823871E-2</v>
      </c>
      <c r="O207" cm="1">
        <f t="array" aca="1" ref="O207" ca="1">thm_cum($C207,qi,Di,bi,bf,telf,bterm,tterm)</f>
        <v>731.37302376832304</v>
      </c>
      <c r="Q207" cm="1">
        <f t="array" aca="1" ref="Q207" ca="1">thm_rate(C207,$F$3,$F$4,$F$5,$F$6,$F$7,$F$8,$F$9)</f>
        <v>1.1806848696006862</v>
      </c>
    </row>
    <row r="208" spans="2:17" x14ac:dyDescent="0.25">
      <c r="B208" cm="1">
        <f t="array" ref="B208">B207+log_interval</f>
        <v>10.304068291148335</v>
      </c>
      <c r="C208">
        <f t="shared" si="8"/>
        <v>29853.82618917901</v>
      </c>
      <c r="D208">
        <f ca="1"/>
        <v>1.0200383859583204</v>
      </c>
      <c r="E208">
        <f ca="1"/>
        <v>8.5684155260085972E-5</v>
      </c>
      <c r="F208">
        <f ca="1"/>
        <v>0.3</v>
      </c>
      <c r="G208">
        <f ca="1"/>
        <v>733.20637522518359</v>
      </c>
      <c r="H208">
        <f t="shared" ca="1" si="7"/>
        <v>637.59830277072228</v>
      </c>
      <c r="J208" s="5" cm="1">
        <f t="array" aca="1" ref="J208" ca="1">thm_rate($C208,qi,Di,bi,bf,telf,bterm,tterm)</f>
        <v>1.0200383859583204</v>
      </c>
      <c r="K208" s="5" cm="1">
        <f t="array" aca="1" ref="K208" ca="1">thm_D($C208,qi,Di,bi,bf,telf,bterm,tterm)</f>
        <v>8.5684155260085972E-5</v>
      </c>
      <c r="L208" s="3" cm="1">
        <f t="array" aca="1" ref="L208" ca="1">thm_D_eff(C208,qi,Di,bi,bf,telf,bterm,tterm)</f>
        <v>3.0669966890004785E-2</v>
      </c>
      <c r="M208" cm="1">
        <f t="array" aca="1" ref="M208" ca="1">thm_b(C208,qi,Di,bi,bf,telf,bterm,tterm)</f>
        <v>0.3</v>
      </c>
      <c r="N208" cm="1">
        <f t="array" aca="1" ref="N208" ca="1">thm_monthly_vol(C208,qi,Di,bi,bf,telf,bterm,tterm)</f>
        <v>3.1087950186929447E-2</v>
      </c>
      <c r="O208" cm="1">
        <f t="array" aca="1" ref="O208" ca="1">thm_cum($C208,qi,Di,bi,bf,telf,bterm,tterm)</f>
        <v>733.20637522518359</v>
      </c>
      <c r="Q208" cm="1">
        <f t="array" aca="1" ref="Q208" ca="1">thm_rate(C208,$F$3,$F$4,$F$5,$F$6,$F$7,$F$8,$F$9)</f>
        <v>1.02003838595832</v>
      </c>
    </row>
    <row r="209" spans="2:17" x14ac:dyDescent="0.25">
      <c r="B209" cm="1">
        <f t="array" ref="B209">B208+log_interval</f>
        <v>10.361632918473186</v>
      </c>
      <c r="C209">
        <f t="shared" si="8"/>
        <v>31622.776601683163</v>
      </c>
      <c r="D209">
        <f ca="1"/>
        <v>0.87951406514322861</v>
      </c>
      <c r="E209">
        <f ca="1"/>
        <v>8.1957443235669103E-5</v>
      </c>
      <c r="F209">
        <f ca="1"/>
        <v>0.3</v>
      </c>
      <c r="G209">
        <f ca="1"/>
        <v>734.88249220303044</v>
      </c>
      <c r="H209">
        <f t="shared" ca="1" si="7"/>
        <v>639.05585875554596</v>
      </c>
      <c r="J209" s="5" cm="1">
        <f t="array" aca="1" ref="J209" ca="1">thm_rate($C209,qi,Di,bi,bf,telf,bterm,tterm)</f>
        <v>0.87951406514322861</v>
      </c>
      <c r="K209" s="5" cm="1">
        <f t="array" aca="1" ref="K209" ca="1">thm_D($C209,qi,Di,bi,bf,telf,bterm,tterm)</f>
        <v>8.1957443235669103E-5</v>
      </c>
      <c r="L209" s="3" cm="1">
        <f t="array" aca="1" ref="L209" ca="1">thm_D_eff(C209,qi,Di,bi,bf,telf,bterm,tterm)</f>
        <v>2.9361658846321026E-2</v>
      </c>
      <c r="M209" cm="1">
        <f t="array" aca="1" ref="M209" ca="1">thm_b(C209,qi,Di,bi,bf,telf,bterm,tterm)</f>
        <v>0.3</v>
      </c>
      <c r="N209" cm="1">
        <f t="array" aca="1" ref="N209" ca="1">thm_monthly_vol(C209,qi,Di,bi,bf,telf,bterm,tterm)</f>
        <v>2.6803635698342987E-2</v>
      </c>
      <c r="O209" cm="1">
        <f t="array" aca="1" ref="O209" ca="1">thm_cum($C209,qi,Di,bi,bf,telf,bterm,tterm)</f>
        <v>734.88249220303044</v>
      </c>
      <c r="Q209" cm="1">
        <f t="array" aca="1" ref="Q209" ca="1">thm_rate(C209,$F$3,$F$4,$F$5,$F$6,$F$7,$F$8,$F$9)</f>
        <v>0.87951406514322816</v>
      </c>
    </row>
    <row r="210" spans="2:17" x14ac:dyDescent="0.25">
      <c r="B210" cm="1">
        <f t="array" ref="B210">B209+log_interval</f>
        <v>10.419197545798037</v>
      </c>
      <c r="C210">
        <f t="shared" si="8"/>
        <v>33496.543915782095</v>
      </c>
      <c r="D210">
        <f ca="1"/>
        <v>0.75690130760059238</v>
      </c>
      <c r="E210">
        <f ca="1"/>
        <v>7.8347896605134322E-5</v>
      </c>
      <c r="F210">
        <f ca="1"/>
        <v>0.3</v>
      </c>
      <c r="G210">
        <f ca="1"/>
        <v>736.41188774790862</v>
      </c>
      <c r="H210">
        <f t="shared" ca="1" si="7"/>
        <v>640.38582537426214</v>
      </c>
      <c r="J210" s="5" cm="1">
        <f t="array" aca="1" ref="J210" ca="1">thm_rate($C210,qi,Di,bi,bf,telf,bterm,tterm)</f>
        <v>0.75690130760059238</v>
      </c>
      <c r="K210" s="5" cm="1">
        <f t="array" aca="1" ref="K210" ca="1">thm_D($C210,qi,Di,bi,bf,telf,bterm,tterm)</f>
        <v>7.8347896605134322E-5</v>
      </c>
      <c r="L210" s="3" cm="1">
        <f t="array" aca="1" ref="L210" ca="1">thm_D_eff(C210,qi,Di,bi,bf,telf,bterm,tterm)</f>
        <v>2.8092293863276496E-2</v>
      </c>
      <c r="M210" cm="1">
        <f t="array" aca="1" ref="M210" ca="1">thm_b(C210,qi,Di,bi,bf,telf,bterm,tterm)</f>
        <v>0.3</v>
      </c>
      <c r="N210" cm="1">
        <f t="array" aca="1" ref="N210" ca="1">thm_monthly_vol(C210,qi,Di,bi,bf,telf,bterm,tterm)</f>
        <v>2.3065681704338203E-2</v>
      </c>
      <c r="O210" cm="1">
        <f t="array" aca="1" ref="O210" ca="1">thm_cum($C210,qi,Di,bi,bf,telf,bterm,tterm)</f>
        <v>736.41188774790862</v>
      </c>
      <c r="Q210" cm="1">
        <f t="array" aca="1" ref="Q210" ca="1">thm_rate(C210,$F$3,$F$4,$F$5,$F$6,$F$7,$F$8,$F$9)</f>
        <v>0.75690130760059193</v>
      </c>
    </row>
    <row r="211" spans="2:17" x14ac:dyDescent="0.25">
      <c r="B211" cm="1">
        <f t="array" ref="B211">B210+log_interval</f>
        <v>10.476762173122887</v>
      </c>
      <c r="C211">
        <f t="shared" si="8"/>
        <v>35481.338923356823</v>
      </c>
      <c r="D211">
        <f ca="1"/>
        <v>0.65017827890426827</v>
      </c>
      <c r="E211">
        <f ca="1"/>
        <v>7.4855773405284356E-5</v>
      </c>
      <c r="F211">
        <f ca="1"/>
        <v>0.3</v>
      </c>
      <c r="G211">
        <f ca="1"/>
        <v>737.80478377077793</v>
      </c>
      <c r="H211">
        <f t="shared" ca="1" si="7"/>
        <v>641.59709162906631</v>
      </c>
      <c r="J211" s="5" cm="1">
        <f t="array" aca="1" ref="J211" ca="1">thm_rate($C211,qi,Di,bi,bf,telf,bterm,tterm)</f>
        <v>0.65017827890426827</v>
      </c>
      <c r="K211" s="5" cm="1">
        <f t="array" aca="1" ref="K211" ca="1">thm_D($C211,qi,Di,bi,bf,telf,bterm,tterm)</f>
        <v>7.4855773405284356E-5</v>
      </c>
      <c r="L211" s="3" cm="1">
        <f t="array" aca="1" ref="L211" ca="1">thm_D_eff(C211,qi,Di,bi,bf,telf,bterm,tterm)</f>
        <v>2.6862168406065368E-2</v>
      </c>
      <c r="M211" cm="1">
        <f t="array" aca="1" ref="M211" ca="1">thm_b(C211,qi,Di,bi,bf,telf,bterm,tterm)</f>
        <v>0.3</v>
      </c>
      <c r="N211" cm="1">
        <f t="array" aca="1" ref="N211" ca="1">thm_monthly_vol(C211,qi,Di,bi,bf,telf,bterm,tterm)</f>
        <v>1.9812368408679504E-2</v>
      </c>
      <c r="O211" cm="1">
        <f t="array" aca="1" ref="O211" ca="1">thm_cum($C211,qi,Di,bi,bf,telf,bterm,tterm)</f>
        <v>737.80478377077793</v>
      </c>
      <c r="Q211" cm="1">
        <f t="array" aca="1" ref="Q211" ca="1">thm_rate(C211,$F$3,$F$4,$F$5,$F$6,$F$7,$F$8,$F$9)</f>
        <v>0.65017827890426794</v>
      </c>
    </row>
    <row r="212" spans="2:17" x14ac:dyDescent="0.25">
      <c r="B212" cm="1">
        <f t="array" ref="B212">B211+log_interval</f>
        <v>10.534326800447738</v>
      </c>
      <c r="C212">
        <f t="shared" si="8"/>
        <v>37583.740428843645</v>
      </c>
      <c r="D212">
        <f ca="1"/>
        <v>0.55750523194364576</v>
      </c>
      <c r="E212">
        <f ca="1"/>
        <v>7.1480939026745318E-5</v>
      </c>
      <c r="F212">
        <f ca="1"/>
        <v>0.3</v>
      </c>
      <c r="G212">
        <f ca="1"/>
        <v>739.07105722201902</v>
      </c>
      <c r="H212">
        <f t="shared" ca="1" si="7"/>
        <v>642.69824654347497</v>
      </c>
      <c r="J212" s="5" cm="1">
        <f t="array" aca="1" ref="J212" ca="1">thm_rate($C212,qi,Di,bi,bf,telf,bterm,tterm)</f>
        <v>0.55750523194364576</v>
      </c>
      <c r="K212" s="5" cm="1">
        <f t="array" aca="1" ref="K212" ca="1">thm_D($C212,qi,Di,bi,bf,telf,bterm,tterm)</f>
        <v>7.1480939026745318E-5</v>
      </c>
      <c r="L212" s="3" cm="1">
        <f t="array" aca="1" ref="L212" ca="1">thm_D_eff(C212,qi,Di,bi,bf,telf,bterm,tterm)</f>
        <v>2.5671434889192102E-2</v>
      </c>
      <c r="M212" cm="1">
        <f t="array" aca="1" ref="M212" ca="1">thm_b(C212,qi,Di,bi,bf,telf,bterm,tterm)</f>
        <v>0.3</v>
      </c>
      <c r="N212" cm="1">
        <f t="array" aca="1" ref="N212" ca="1">thm_monthly_vol(C212,qi,Di,bi,bf,telf,bterm,tterm)</f>
        <v>1.6987542723541083E-2</v>
      </c>
      <c r="O212" cm="1">
        <f t="array" aca="1" ref="O212" ca="1">thm_cum($C212,qi,Di,bi,bf,telf,bterm,tterm)</f>
        <v>739.07105722201902</v>
      </c>
      <c r="Q212" cm="1">
        <f t="array" aca="1" ref="Q212" ca="1">thm_rate(C212,$F$3,$F$4,$F$5,$F$6,$F$7,$F$8,$F$9)</f>
        <v>0.55750523194364543</v>
      </c>
    </row>
    <row r="213" spans="2:17" x14ac:dyDescent="0.25">
      <c r="B213" cm="1">
        <f t="array" ref="B213">B212+log_interval</f>
        <v>10.591891427772589</v>
      </c>
      <c r="C213">
        <f t="shared" si="8"/>
        <v>39810.717055348898</v>
      </c>
      <c r="D213">
        <f ca="1"/>
        <v>0.47721623605575708</v>
      </c>
      <c r="E213">
        <f ca="1"/>
        <v>6.822289243358024E-5</v>
      </c>
      <c r="F213">
        <f ca="1"/>
        <v>0.3</v>
      </c>
      <c r="G213">
        <f ca="1"/>
        <v>740.22019670046711</v>
      </c>
      <c r="H213">
        <f t="shared" ca="1" si="7"/>
        <v>643.69754142942065</v>
      </c>
      <c r="J213" s="5" cm="1">
        <f t="array" aca="1" ref="J213" ca="1">thm_rate($C213,qi,Di,bi,bf,telf,bterm,tterm)</f>
        <v>0.47721623605575708</v>
      </c>
      <c r="K213" s="5" cm="1">
        <f t="array" aca="1" ref="K213" ca="1">thm_D($C213,qi,Di,bi,bf,telf,bterm,tterm)</f>
        <v>6.822289243358024E-5</v>
      </c>
      <c r="L213" s="3" cm="1">
        <f t="array" aca="1" ref="L213" ca="1">thm_D_eff(C213,qi,Di,bi,bf,telf,bterm,tterm)</f>
        <v>2.4520109770614473E-2</v>
      </c>
      <c r="M213" cm="1">
        <f t="array" aca="1" ref="M213" ca="1">thm_b(C213,qi,Di,bi,bf,telf,bterm,tterm)</f>
        <v>0.3</v>
      </c>
      <c r="N213" cm="1">
        <f t="array" aca="1" ref="N213" ca="1">thm_monthly_vol(C213,qi,Di,bi,bf,telf,bterm,tterm)</f>
        <v>1.4540363876449192E-2</v>
      </c>
      <c r="O213" cm="1">
        <f t="array" aca="1" ref="O213" ca="1">thm_cum($C213,qi,Di,bi,bf,telf,bterm,tterm)</f>
        <v>740.22019670046711</v>
      </c>
      <c r="Q213" cm="1">
        <f t="array" aca="1" ref="Q213" ca="1">thm_rate(C213,$F$3,$F$4,$F$5,$F$6,$F$7,$F$8,$F$9)</f>
        <v>0.47721623605575686</v>
      </c>
    </row>
    <row r="214" spans="2:17" x14ac:dyDescent="0.25">
      <c r="B214" cm="1">
        <f t="array" ref="B214">B213+log_interval</f>
        <v>10.64945605509744</v>
      </c>
      <c r="C214">
        <f t="shared" si="8"/>
        <v>42169.650342857334</v>
      </c>
      <c r="D214">
        <f ca="1"/>
        <v>0.40780972483685324</v>
      </c>
      <c r="E214">
        <f ca="1"/>
        <v>6.5080793321331608E-5</v>
      </c>
      <c r="F214">
        <f ca="1"/>
        <v>0.3</v>
      </c>
      <c r="G214">
        <f ca="1"/>
        <v>741.26126885777853</v>
      </c>
      <c r="H214">
        <f t="shared" ca="1" si="7"/>
        <v>644.6028606723961</v>
      </c>
      <c r="J214" s="5" cm="1">
        <f t="array" aca="1" ref="J214" ca="1">thm_rate($C214,qi,Di,bi,bf,telf,bterm,tterm)</f>
        <v>0.40780972483685324</v>
      </c>
      <c r="K214" s="5" cm="1">
        <f t="array" aca="1" ref="K214" ca="1">thm_D($C214,qi,Di,bi,bf,telf,bterm,tterm)</f>
        <v>6.5080793321331608E-5</v>
      </c>
      <c r="L214" s="3" cm="1">
        <f t="array" aca="1" ref="L214" ca="1">thm_D_eff(C214,qi,Di,bi,bf,telf,bterm,tterm)</f>
        <v>2.3408082170958466E-2</v>
      </c>
      <c r="M214" cm="1">
        <f t="array" aca="1" ref="M214" ca="1">thm_b(C214,qi,Di,bi,bf,telf,bterm,tterm)</f>
        <v>0.3</v>
      </c>
      <c r="N214" cm="1">
        <f t="array" aca="1" ref="N214" ca="1">thm_monthly_vol(C214,qi,Di,bi,bf,telf,bterm,tterm)</f>
        <v>1.242501320757583E-2</v>
      </c>
      <c r="O214" cm="1">
        <f t="array" aca="1" ref="O214" ca="1">thm_cum($C214,qi,Di,bi,bf,telf,bterm,tterm)</f>
        <v>741.26126885777853</v>
      </c>
      <c r="Q214" cm="1">
        <f t="array" aca="1" ref="Q214" ca="1">thm_rate(C214,$F$3,$F$4,$F$5,$F$6,$F$7,$F$8,$F$9)</f>
        <v>0.40780972483685302</v>
      </c>
    </row>
    <row r="215" spans="2:17" x14ac:dyDescent="0.25">
      <c r="B215" cm="1">
        <f t="array" ref="B215">B214+log_interval</f>
        <v>10.707020682422291</v>
      </c>
      <c r="C215">
        <f t="shared" si="8"/>
        <v>44668.359215095363</v>
      </c>
      <c r="D215">
        <f ca="1"/>
        <v>0.34793823260987444</v>
      </c>
      <c r="E215">
        <f ca="1"/>
        <v>6.2053489823861725E-5</v>
      </c>
      <c r="F215">
        <f ca="1"/>
        <v>0.3</v>
      </c>
      <c r="G215">
        <f ca="1"/>
        <v>742.2028938488163</v>
      </c>
      <c r="H215">
        <f t="shared" ca="1" si="7"/>
        <v>645.42170038304073</v>
      </c>
      <c r="J215" s="5" cm="1">
        <f t="array" aca="1" ref="J215" ca="1">thm_rate($C215,qi,Di,bi,bf,telf,bterm,tterm)</f>
        <v>0.34793823260987444</v>
      </c>
      <c r="K215" s="5" cm="1">
        <f t="array" aca="1" ref="K215" ca="1">thm_D($C215,qi,Di,bi,bf,telf,bterm,tterm)</f>
        <v>6.2053489823861725E-5</v>
      </c>
      <c r="L215" s="3" cm="1">
        <f t="array" aca="1" ref="L215" ca="1">thm_D_eff(C215,qi,Di,bi,bf,telf,bterm,tterm)</f>
        <v>2.233512287317041E-2</v>
      </c>
      <c r="M215" cm="1">
        <f t="array" aca="1" ref="M215" ca="1">thm_b(C215,qi,Di,bi,bf,telf,bterm,tterm)</f>
        <v>0.3</v>
      </c>
      <c r="N215" cm="1">
        <f t="array" aca="1" ref="N215" ca="1">thm_monthly_vol(C215,qi,Di,bi,bf,telf,bterm,tterm)</f>
        <v>1.060037944398573E-2</v>
      </c>
      <c r="O215" cm="1">
        <f t="array" aca="1" ref="O215" ca="1">thm_cum($C215,qi,Di,bi,bf,telf,bterm,tterm)</f>
        <v>742.2028938488163</v>
      </c>
      <c r="Q215" cm="1">
        <f t="array" aca="1" ref="Q215" ca="1">thm_rate(C215,$F$3,$F$4,$F$5,$F$6,$F$7,$F$8,$F$9)</f>
        <v>0.34793823260987428</v>
      </c>
    </row>
    <row r="216" spans="2:17" x14ac:dyDescent="0.25">
      <c r="B216" cm="1">
        <f t="array" ref="B216">B215+log_interval</f>
        <v>10.764585309747142</v>
      </c>
      <c r="C216">
        <f t="shared" si="8"/>
        <v>47315.12589614703</v>
      </c>
      <c r="D216">
        <f ca="1"/>
        <v>0.29639764451357414</v>
      </c>
      <c r="E216">
        <f ca="1"/>
        <v>5.9139546411851621E-5</v>
      </c>
      <c r="F216">
        <f ca="1"/>
        <v>0.3</v>
      </c>
      <c r="G216">
        <f ca="1"/>
        <v>743.05322900371289</v>
      </c>
      <c r="H216">
        <f t="shared" ca="1" si="7"/>
        <v>646.16115419832136</v>
      </c>
      <c r="J216" s="5" cm="1">
        <f t="array" aca="1" ref="J216" ca="1">thm_rate($C216,qi,Di,bi,bf,telf,bterm,tterm)</f>
        <v>0.29639764451357414</v>
      </c>
      <c r="K216" s="5" cm="1">
        <f t="array" aca="1" ref="K216" ca="1">thm_D($C216,qi,Di,bi,bf,telf,bterm,tterm)</f>
        <v>5.9139546411851621E-5</v>
      </c>
      <c r="L216" s="3" cm="1">
        <f t="array" aca="1" ref="L216" ca="1">thm_D_eff(C216,qi,Di,bi,bf,telf,bterm,tterm)</f>
        <v>2.1300893566774115E-2</v>
      </c>
      <c r="M216" cm="1">
        <f t="array" aca="1" ref="M216" ca="1">thm_b(C216,qi,Di,bi,bf,telf,bterm,tterm)</f>
        <v>0.3</v>
      </c>
      <c r="N216" cm="1">
        <f t="array" aca="1" ref="N216" ca="1">thm_monthly_vol(C216,qi,Di,bi,bf,telf,bterm,tterm)</f>
        <v>9.0297293563708081E-3</v>
      </c>
      <c r="O216" cm="1">
        <f t="array" aca="1" ref="O216" ca="1">thm_cum($C216,qi,Di,bi,bf,telf,bterm,tterm)</f>
        <v>743.05322900371289</v>
      </c>
      <c r="Q216" cm="1">
        <f t="array" aca="1" ref="Q216" ca="1">thm_rate(C216,$F$3,$F$4,$F$5,$F$6,$F$7,$F$8,$F$9)</f>
        <v>0.29639764451357403</v>
      </c>
    </row>
    <row r="217" spans="2:17" x14ac:dyDescent="0.25">
      <c r="B217" cm="1">
        <f t="array" ref="B217">B216+log_interval</f>
        <v>10.822149937071993</v>
      </c>
      <c r="C217">
        <f t="shared" si="8"/>
        <v>50118.723362726138</v>
      </c>
      <c r="D217">
        <f ca="1"/>
        <v>0.25211623909049014</v>
      </c>
      <c r="E217">
        <f ca="1"/>
        <v>5.6337271661147685E-5</v>
      </c>
      <c r="F217">
        <f ca="1"/>
        <v>0.3</v>
      </c>
      <c r="G217">
        <f ca="1"/>
        <v>743.81995985396384</v>
      </c>
      <c r="H217">
        <f t="shared" ca="1" si="7"/>
        <v>646.82790547779825</v>
      </c>
      <c r="J217" s="5" cm="1">
        <f t="array" aca="1" ref="J217" ca="1">thm_rate($C217,qi,Di,bi,bf,telf,bterm,tterm)</f>
        <v>0.25211623909049014</v>
      </c>
      <c r="K217" s="5" cm="1">
        <f t="array" aca="1" ref="K217" ca="1">thm_D($C217,qi,Di,bi,bf,telf,bterm,tterm)</f>
        <v>5.6337271661147685E-5</v>
      </c>
      <c r="L217" s="3" cm="1">
        <f t="array" aca="1" ref="L217" ca="1">thm_D_eff(C217,qi,Di,bi,bf,telf,bterm,tterm)</f>
        <v>2.0304956211247505E-2</v>
      </c>
      <c r="M217" cm="1">
        <f t="array" aca="1" ref="M217" ca="1">thm_b(C217,qi,Di,bi,bf,telf,bterm,tterm)</f>
        <v>0.3</v>
      </c>
      <c r="N217" cm="1">
        <f t="array" aca="1" ref="N217" ca="1">thm_monthly_vol(C217,qi,Di,bi,bf,telf,bterm,tterm)</f>
        <v>7.6803722938620922E-3</v>
      </c>
      <c r="O217" cm="1">
        <f t="array" aca="1" ref="O217" ca="1">thm_cum($C217,qi,Di,bi,bf,telf,bterm,tterm)</f>
        <v>743.81995985396384</v>
      </c>
      <c r="Q217" cm="1">
        <f t="array" aca="1" ref="Q217" ca="1">thm_rate(C217,$F$3,$F$4,$F$5,$F$6,$F$7,$F$8,$F$9)</f>
        <v>0.25211623909049002</v>
      </c>
    </row>
    <row r="218" spans="2:17" x14ac:dyDescent="0.25">
      <c r="B218" cm="1">
        <f t="array" ref="B218">B217+log_interval</f>
        <v>10.879714564396844</v>
      </c>
      <c r="C218">
        <f t="shared" si="8"/>
        <v>53088.444423097666</v>
      </c>
      <c r="D218">
        <f ca="1"/>
        <v>0.2141437568675329</v>
      </c>
      <c r="E218">
        <f ca="1"/>
        <v>5.3644745606127271E-5</v>
      </c>
      <c r="F218">
        <f ca="1"/>
        <v>0.3</v>
      </c>
      <c r="G218">
        <f ca="1"/>
        <v>744.51029762939402</v>
      </c>
      <c r="H218">
        <f t="shared" ca="1" si="7"/>
        <v>647.42822512697967</v>
      </c>
      <c r="J218" s="5" cm="1">
        <f t="array" aca="1" ref="J218" ca="1">thm_rate($C218,qi,Di,bi,bf,telf,bterm,tterm)</f>
        <v>0.2141437568675329</v>
      </c>
      <c r="K218" s="5" cm="1">
        <f t="array" aca="1" ref="K218" ca="1">thm_D($C218,qi,Di,bi,bf,telf,bterm,tterm)</f>
        <v>5.3644745606127271E-5</v>
      </c>
      <c r="L218" s="3" cm="1">
        <f t="array" aca="1" ref="L218" ca="1">thm_D_eff(C218,qi,Di,bi,bf,telf,bterm,tterm)</f>
        <v>1.9346782404551677E-2</v>
      </c>
      <c r="M218" cm="1">
        <f t="array" aca="1" ref="M218" ca="1">thm_b(C218,qi,Di,bi,bf,telf,bterm,tterm)</f>
        <v>0.3</v>
      </c>
      <c r="N218" cm="1">
        <f t="array" aca="1" ref="N218" ca="1">thm_monthly_vol(C218,qi,Di,bi,bf,telf,bterm,tterm)</f>
        <v>6.5233257018917357E-3</v>
      </c>
      <c r="O218" cm="1">
        <f t="array" aca="1" ref="O218" ca="1">thm_cum($C218,qi,Di,bi,bf,telf,bterm,tterm)</f>
        <v>744.51029762939402</v>
      </c>
      <c r="Q218" cm="1">
        <f t="array" aca="1" ref="Q218" ca="1">thm_rate(C218,$F$3,$F$4,$F$5,$F$6,$F$7,$F$8,$F$9)</f>
        <v>0.21414375686753279</v>
      </c>
    </row>
    <row r="219" spans="2:17" x14ac:dyDescent="0.25">
      <c r="B219" cm="1">
        <f t="array" ref="B219">B218+log_interval</f>
        <v>10.937279191721695</v>
      </c>
      <c r="C219">
        <f t="shared" si="8"/>
        <v>56234.132519033657</v>
      </c>
      <c r="D219">
        <f ca="1"/>
        <v>0.18164068513531056</v>
      </c>
      <c r="E219">
        <f ca="1"/>
        <v>5.1059846430832312E-5</v>
      </c>
      <c r="F219">
        <f ca="1"/>
        <v>0.3</v>
      </c>
      <c r="G219">
        <f ca="1"/>
        <v>745.13098235092787</v>
      </c>
      <c r="H219">
        <f t="shared" ca="1" si="7"/>
        <v>647.96797428680406</v>
      </c>
      <c r="J219" s="5" cm="1">
        <f t="array" aca="1" ref="J219" ca="1">thm_rate($C219,qi,Di,bi,bf,telf,bterm,tterm)</f>
        <v>0.18164068513531056</v>
      </c>
      <c r="K219" s="5" cm="1">
        <f t="array" aca="1" ref="K219" ca="1">thm_D($C219,qi,Di,bi,bf,telf,bterm,tterm)</f>
        <v>5.1059846430832312E-5</v>
      </c>
      <c r="L219" s="3" cm="1">
        <f t="array" aca="1" ref="L219" ca="1">thm_D_eff(C219,qi,Di,bi,bf,telf,bterm,tterm)</f>
        <v>1.8425762655115641E-2</v>
      </c>
      <c r="M219" cm="1">
        <f t="array" aca="1" ref="M219" ca="1">thm_b(C219,qi,Di,bi,bf,telf,bterm,tterm)</f>
        <v>0.3</v>
      </c>
      <c r="N219" cm="1">
        <f t="array" aca="1" ref="N219" ca="1">thm_monthly_vol(C219,qi,Di,bi,bf,telf,bterm,tterm)</f>
        <v>5.5329874103335897E-3</v>
      </c>
      <c r="O219" cm="1">
        <f t="array" aca="1" ref="O219" ca="1">thm_cum($C219,qi,Di,bi,bf,telf,bterm,tterm)</f>
        <v>745.13098235092787</v>
      </c>
      <c r="Q219" cm="1">
        <f t="array" aca="1" ref="Q219" ca="1">thm_rate(C219,$F$3,$F$4,$F$5,$F$6,$F$7,$F$8,$F$9)</f>
        <v>0.18164068513531048</v>
      </c>
    </row>
    <row r="220" spans="2:17" x14ac:dyDescent="0.25">
      <c r="B220" cm="1">
        <f t="array" ref="B220">B219+log_interval</f>
        <v>10.994843819046546</v>
      </c>
      <c r="C220">
        <f t="shared" si="8"/>
        <v>59566.214352899704</v>
      </c>
      <c r="D220">
        <f ca="1"/>
        <v>0.15386790895949209</v>
      </c>
      <c r="E220">
        <f ca="1"/>
        <v>4.8580276287877667E-5</v>
      </c>
      <c r="F220">
        <f ca="1"/>
        <v>0.3</v>
      </c>
      <c r="G220">
        <f ca="1"/>
        <v>745.68829067151876</v>
      </c>
      <c r="H220">
        <f t="shared" ca="1" si="7"/>
        <v>648.45261115213361</v>
      </c>
      <c r="J220" s="5" cm="1">
        <f t="array" aca="1" ref="J220" ca="1">thm_rate($C220,qi,Di,bi,bf,telf,bterm,tterm)</f>
        <v>0.15386790895949209</v>
      </c>
      <c r="K220" s="5" cm="1">
        <f t="array" aca="1" ref="K220" ca="1">thm_D($C220,qi,Di,bi,bf,telf,bterm,tterm)</f>
        <v>4.8580276287877667E-5</v>
      </c>
      <c r="L220" s="3" cm="1">
        <f t="array" aca="1" ref="L220" ca="1">thm_D_eff(C220,qi,Di,bi,bf,telf,bterm,tterm)</f>
        <v>1.7541215468162452E-2</v>
      </c>
      <c r="M220" cm="1">
        <f t="array" aca="1" ref="M220" ca="1">thm_b(C220,qi,Di,bi,bf,telf,bterm,tterm)</f>
        <v>0.3</v>
      </c>
      <c r="N220" cm="1">
        <f t="array" aca="1" ref="N220" ca="1">thm_monthly_vol(C220,qi,Di,bi,bf,telf,bterm,tterm)</f>
        <v>4.6868192484907922E-3</v>
      </c>
      <c r="O220" cm="1">
        <f t="array" aca="1" ref="O220" ca="1">thm_cum($C220,qi,Di,bi,bf,telf,bterm,tterm)</f>
        <v>745.68829067151876</v>
      </c>
      <c r="Q220" cm="1">
        <f t="array" aca="1" ref="Q220" ca="1">thm_rate(C220,$F$3,$F$4,$F$5,$F$6,$F$7,$F$8,$F$9)</f>
        <v>0.15386790895949201</v>
      </c>
    </row>
    <row r="221" spans="2:17" x14ac:dyDescent="0.25">
      <c r="B221" cm="1">
        <f t="array" ref="B221">B220+log_interval</f>
        <v>11.052408446371397</v>
      </c>
      <c r="C221">
        <f t="shared" si="8"/>
        <v>63095.734448017887</v>
      </c>
      <c r="D221">
        <f ca="1"/>
        <v>0.13017684208202251</v>
      </c>
      <c r="E221">
        <f ca="1"/>
        <v>4.6203586071307998E-5</v>
      </c>
      <c r="F221">
        <f ca="1"/>
        <v>0.3</v>
      </c>
      <c r="G221">
        <f ca="1"/>
        <v>746.18804766023197</v>
      </c>
      <c r="H221">
        <f t="shared" ca="1" si="7"/>
        <v>648.88720121922552</v>
      </c>
      <c r="J221" s="5" cm="1">
        <f t="array" aca="1" ref="J221" ca="1">thm_rate($C221,qi,Di,bi,bf,telf,bterm,tterm)</f>
        <v>0.13017684208202251</v>
      </c>
      <c r="K221" s="5" cm="1">
        <f t="array" aca="1" ref="K221" ca="1">thm_D($C221,qi,Di,bi,bf,telf,bterm,tterm)</f>
        <v>4.6203586071307998E-5</v>
      </c>
      <c r="L221" s="3" cm="1">
        <f t="array" aca="1" ref="L221" ca="1">thm_D_eff(C221,qi,Di,bi,bf,telf,bterm,tterm)</f>
        <v>1.6692396169932122E-2</v>
      </c>
      <c r="M221" cm="1">
        <f t="array" aca="1" ref="M221" ca="1">thm_b(C221,qi,Di,bi,bf,telf,bterm,tterm)</f>
        <v>0.3</v>
      </c>
      <c r="N221" cm="1">
        <f t="array" aca="1" ref="N221" ca="1">thm_monthly_vol(C221,qi,Di,bi,bf,telf,bterm,tterm)</f>
        <v>3.9650454340289798E-3</v>
      </c>
      <c r="O221" cm="1">
        <f t="array" aca="1" ref="O221" ca="1">thm_cum($C221,qi,Di,bi,bf,telf,bterm,tterm)</f>
        <v>746.18804766023197</v>
      </c>
      <c r="Q221" cm="1">
        <f t="array" aca="1" ref="Q221" ca="1">thm_rate(C221,$F$3,$F$4,$F$5,$F$6,$F$7,$F$8,$F$9)</f>
        <v>0.13017684208202243</v>
      </c>
    </row>
    <row r="222" spans="2:17" x14ac:dyDescent="0.25">
      <c r="B222" cm="1">
        <f t="array" ref="B222">B221+log_interval</f>
        <v>11.109973073696247</v>
      </c>
      <c r="C222">
        <f t="shared" si="8"/>
        <v>66834.391756859928</v>
      </c>
      <c r="D222">
        <f ca="1"/>
        <v>0.11000011918241975</v>
      </c>
      <c r="E222">
        <f ca="1"/>
        <v>4.3927199004030934E-5</v>
      </c>
      <c r="F222">
        <f ca="1"/>
        <v>0.3</v>
      </c>
      <c r="G222">
        <f ca="1"/>
        <v>746.63564177845001</v>
      </c>
      <c r="H222">
        <f t="shared" ca="1" si="7"/>
        <v>649.27643030908223</v>
      </c>
      <c r="J222" s="5" cm="1">
        <f t="array" aca="1" ref="J222" ca="1">thm_rate($C222,qi,Di,bi,bf,telf,bterm,tterm)</f>
        <v>0.11000011918241975</v>
      </c>
      <c r="K222" s="5" cm="1">
        <f t="array" aca="1" ref="K222" ca="1">thm_D($C222,qi,Di,bi,bf,telf,bterm,tterm)</f>
        <v>4.3927199004030934E-5</v>
      </c>
      <c r="L222" s="3" cm="1">
        <f t="array" aca="1" ref="L222" ca="1">thm_D_eff(C222,qi,Di,bi,bf,telf,bterm,tterm)</f>
        <v>1.5878505405717558E-2</v>
      </c>
      <c r="M222" cm="1">
        <f t="array" aca="1" ref="M222" ca="1">thm_b(C222,qi,Di,bi,bf,telf,bterm,tterm)</f>
        <v>0.3</v>
      </c>
      <c r="N222" cm="1">
        <f t="array" aca="1" ref="N222" ca="1">thm_monthly_vol(C222,qi,Di,bi,bf,telf,bterm,tterm)</f>
        <v>3.3503682062701046E-3</v>
      </c>
      <c r="O222" cm="1">
        <f t="array" aca="1" ref="O222" ca="1">thm_cum($C222,qi,Di,bi,bf,telf,bterm,tterm)</f>
        <v>746.63564177845001</v>
      </c>
      <c r="Q222" cm="1">
        <f t="array" aca="1" ref="Q222" ca="1">thm_rate(C222,$F$3,$F$4,$F$5,$F$6,$F$7,$F$8,$F$9)</f>
        <v>0.1100001191824197</v>
      </c>
    </row>
    <row r="223" spans="2:17" x14ac:dyDescent="0.25">
      <c r="B223" cm="1">
        <f t="array" ref="B223">B222+log_interval</f>
        <v>11.167537701021098</v>
      </c>
      <c r="C223">
        <f t="shared" si="8"/>
        <v>70794.578438412151</v>
      </c>
      <c r="D223">
        <f ca="1"/>
        <v>9.284290311713593E-2</v>
      </c>
      <c r="E223">
        <f ca="1"/>
        <v>4.1748432932713395E-5</v>
      </c>
      <c r="F223">
        <f ca="1"/>
        <v>0.3</v>
      </c>
      <c r="G223">
        <f ca="1"/>
        <v>747.03604235896842</v>
      </c>
      <c r="H223">
        <f t="shared" ref="H223:H229" ca="1" si="9">$I$3*G223</f>
        <v>649.62461976732106</v>
      </c>
      <c r="J223" s="5" cm="1">
        <f t="array" aca="1" ref="J223" ca="1">thm_rate($C223,qi,Di,bi,bf,telf,bterm,tterm)</f>
        <v>9.284290311713593E-2</v>
      </c>
      <c r="K223" s="5" cm="1">
        <f t="array" aca="1" ref="K223" ca="1">thm_D($C223,qi,Di,bi,bf,telf,bterm,tterm)</f>
        <v>4.1748432932713395E-5</v>
      </c>
      <c r="L223" s="3" cm="1">
        <f t="array" aca="1" ref="L223" ca="1">thm_D_eff(C223,qi,Di,bi,bf,telf,bterm,tterm)</f>
        <v>1.5098697259537164E-2</v>
      </c>
      <c r="M223" cm="1">
        <f t="array" aca="1" ref="M223" ca="1">thm_b(C223,qi,Di,bi,bf,telf,bterm,tterm)</f>
        <v>0.3</v>
      </c>
      <c r="N223" cm="1">
        <f t="array" aca="1" ref="N223" ca="1">thm_monthly_vol(C223,qi,Di,bi,bf,telf,bterm,tterm)</f>
        <v>2.827702317404146E-3</v>
      </c>
      <c r="O223" cm="1">
        <f t="array" aca="1" ref="O223" ca="1">thm_cum($C223,qi,Di,bi,bf,telf,bterm,tterm)</f>
        <v>747.03604235896842</v>
      </c>
      <c r="Q223" cm="1">
        <f t="array" aca="1" ref="Q223" ca="1">thm_rate(C223,$F$3,$F$4,$F$5,$F$6,$F$7,$F$8,$F$9)</f>
        <v>9.2842903117135875E-2</v>
      </c>
    </row>
    <row r="224" spans="2:17" x14ac:dyDescent="0.25">
      <c r="B224" cm="1">
        <f t="array" ref="B224">B223+log_interval</f>
        <v>11.225102328345949</v>
      </c>
      <c r="C224">
        <f t="shared" si="8"/>
        <v>74989.420933243819</v>
      </c>
      <c r="D224">
        <f ca="1"/>
        <v>7.8274837191730159E-2</v>
      </c>
      <c r="E224">
        <f ca="1"/>
        <v>3.9664521252743542E-5</v>
      </c>
      <c r="F224">
        <f ca="1"/>
        <v>0.3</v>
      </c>
      <c r="G224">
        <f ca="1"/>
        <v>747.3938189652896</v>
      </c>
      <c r="H224">
        <f t="shared" ca="1" si="9"/>
        <v>649.93574329907074</v>
      </c>
      <c r="J224" s="5" cm="1">
        <f t="array" aca="1" ref="J224" ca="1">thm_rate($C224,qi,Di,bi,bf,telf,bterm,tterm)</f>
        <v>7.8274837191730159E-2</v>
      </c>
      <c r="K224" s="5" cm="1">
        <f t="array" aca="1" ref="K224" ca="1">thm_D($C224,qi,Di,bi,bf,telf,bterm,tterm)</f>
        <v>3.9664521252743542E-5</v>
      </c>
      <c r="L224" s="3" cm="1">
        <f t="array" aca="1" ref="L224" ca="1">thm_D_eff(C224,qi,Di,bi,bf,telf,bterm,tterm)</f>
        <v>1.4352086954482868E-2</v>
      </c>
      <c r="M224" cm="1">
        <f t="array" aca="1" ref="M224" ca="1">thm_b(C224,qi,Di,bi,bf,telf,bterm,tterm)</f>
        <v>0.3</v>
      </c>
      <c r="N224" cm="1">
        <f t="array" aca="1" ref="N224" ca="1">thm_monthly_vol(C224,qi,Di,bi,bf,telf,bterm,tterm)</f>
        <v>2.3839292867933182E-3</v>
      </c>
      <c r="O224" cm="1">
        <f t="array" aca="1" ref="O224" ca="1">thm_cum($C224,qi,Di,bi,bf,telf,bterm,tterm)</f>
        <v>747.3938189652896</v>
      </c>
      <c r="Q224" cm="1">
        <f t="array" aca="1" ref="Q224" ca="1">thm_rate(C224,$F$3,$F$4,$F$5,$F$6,$F$7,$F$8,$F$9)</f>
        <v>7.8274837191730118E-2</v>
      </c>
    </row>
    <row r="225" spans="2:17" x14ac:dyDescent="0.25">
      <c r="B225" cm="1">
        <f t="array" ref="B225">B224+log_interval</f>
        <v>11.2826669556708</v>
      </c>
      <c r="C225">
        <f t="shared" si="8"/>
        <v>79432.823472426273</v>
      </c>
      <c r="D225">
        <f ca="1"/>
        <v>6.5922653053321054E-2</v>
      </c>
      <c r="E225">
        <f ca="1"/>
        <v>3.767263241280378E-5</v>
      </c>
      <c r="F225">
        <f ca="1"/>
        <v>0.3</v>
      </c>
      <c r="G225">
        <f ca="1"/>
        <v>747.71316207704388</v>
      </c>
      <c r="H225">
        <f t="shared" ca="1" si="9"/>
        <v>650.21344495707058</v>
      </c>
      <c r="J225" s="5" cm="1">
        <f t="array" aca="1" ref="J225" ca="1">thm_rate($C225,qi,Di,bi,bf,telf,bterm,tterm)</f>
        <v>6.5922653053321054E-2</v>
      </c>
      <c r="K225" s="5" cm="1">
        <f t="array" aca="1" ref="K225" ca="1">thm_D($C225,qi,Di,bi,bf,telf,bterm,tterm)</f>
        <v>3.767263241280378E-5</v>
      </c>
      <c r="L225" s="3" cm="1">
        <f t="array" aca="1" ref="L225" ca="1">thm_D_eff(C225,qi,Di,bi,bf,telf,bterm,tterm)</f>
        <v>1.3637758103203002E-2</v>
      </c>
      <c r="M225" cm="1">
        <f t="array" aca="1" ref="M225" ca="1">thm_b(C225,qi,Di,bi,bf,telf,bterm,tterm)</f>
        <v>0.3</v>
      </c>
      <c r="N225" cm="1">
        <f t="array" aca="1" ref="N225" ca="1">thm_monthly_vol(C225,qi,Di,bi,bf,telf,bterm,tterm)</f>
        <v>2.0076717233905583E-3</v>
      </c>
      <c r="O225" cm="1">
        <f t="array" aca="1" ref="O225" ca="1">thm_cum($C225,qi,Di,bi,bf,telf,bterm,tterm)</f>
        <v>747.71316207704388</v>
      </c>
      <c r="Q225" cm="1">
        <f t="array" aca="1" ref="Q225" ca="1">thm_rate(C225,$F$3,$F$4,$F$5,$F$6,$F$7,$F$8,$F$9)</f>
        <v>6.5922653053321012E-2</v>
      </c>
    </row>
    <row r="226" spans="2:17" x14ac:dyDescent="0.25">
      <c r="B226" cm="1">
        <f t="array" ref="B226">B225+log_interval</f>
        <v>11.340231582995651</v>
      </c>
      <c r="C226">
        <f t="shared" si="8"/>
        <v>84139.514164517488</v>
      </c>
      <c r="D226">
        <f ca="1"/>
        <v>5.546342912229299E-2</v>
      </c>
      <c r="E226">
        <f ca="1"/>
        <v>3.5769887972646079E-5</v>
      </c>
      <c r="F226">
        <f ca="1"/>
        <v>0.3</v>
      </c>
      <c r="G226">
        <f ca="1"/>
        <v>747.99790461600298</v>
      </c>
      <c r="H226">
        <f t="shared" ca="1" si="9"/>
        <v>650.46105786075157</v>
      </c>
      <c r="J226" s="5" cm="1">
        <f t="array" aca="1" ref="J226" ca="1">thm_rate($C226,qi,Di,bi,bf,telf,bterm,tterm)</f>
        <v>5.546342912229299E-2</v>
      </c>
      <c r="K226" s="5" cm="1">
        <f t="array" aca="1" ref="K226" ca="1">thm_D($C226,qi,Di,bi,bf,telf,bterm,tterm)</f>
        <v>3.5769887972646079E-5</v>
      </c>
      <c r="L226" s="3" cm="1">
        <f t="array" aca="1" ref="L226" ca="1">thm_D_eff(C226,qi,Di,bi,bf,telf,bterm,tterm)</f>
        <v>1.2954769487490192E-2</v>
      </c>
      <c r="M226" cm="1">
        <f t="array" aca="1" ref="M226" ca="1">thm_b(C226,qi,Di,bi,bf,telf,bterm,tterm)</f>
        <v>0.3</v>
      </c>
      <c r="N226" cm="1">
        <f t="array" aca="1" ref="N226" ca="1">thm_monthly_vol(C226,qi,Di,bi,bf,telf,bterm,tterm)</f>
        <v>1.6890875507442615E-3</v>
      </c>
      <c r="O226" cm="1">
        <f t="array" aca="1" ref="O226" ca="1">thm_cum($C226,qi,Di,bi,bf,telf,bterm,tterm)</f>
        <v>747.99790461600298</v>
      </c>
      <c r="Q226" cm="1">
        <f t="array" aca="1" ref="Q226" ca="1">thm_rate(C226,$F$3,$F$4,$F$5,$F$6,$F$7,$F$8,$F$9)</f>
        <v>5.5463429122292962E-2</v>
      </c>
    </row>
    <row r="227" spans="2:17" x14ac:dyDescent="0.25">
      <c r="B227" cm="1">
        <f t="array" ref="B227">B226+log_interval</f>
        <v>11.397796210320502</v>
      </c>
      <c r="C227">
        <f t="shared" si="8"/>
        <v>89125.093813372398</v>
      </c>
      <c r="D227">
        <f ca="1"/>
        <v>4.6618482248347484E-2</v>
      </c>
      <c r="E227">
        <f ca="1"/>
        <v>3.3953379208776988E-5</v>
      </c>
      <c r="F227">
        <f ca="1"/>
        <v>0.3</v>
      </c>
      <c r="G227">
        <f ca="1"/>
        <v>748.2515438938284</v>
      </c>
      <c r="H227">
        <f t="shared" ca="1" si="9"/>
        <v>650.68162328205995</v>
      </c>
      <c r="J227" s="5" cm="1">
        <f t="array" aca="1" ref="J227" ca="1">thm_rate($C227,qi,Di,bi,bf,telf,bterm,tterm)</f>
        <v>4.6618482248347484E-2</v>
      </c>
      <c r="K227" s="5" cm="1">
        <f t="array" aca="1" ref="K227" ca="1">thm_D($C227,qi,Di,bi,bf,telf,bterm,tterm)</f>
        <v>3.3953379208776988E-5</v>
      </c>
      <c r="L227" s="3" cm="1">
        <f t="array" aca="1" ref="L227" ca="1">thm_D_eff(C227,qi,Di,bi,bf,telf,bterm,tterm)</f>
        <v>1.2302161354478036E-2</v>
      </c>
      <c r="M227" cm="1">
        <f t="array" aca="1" ref="M227" ca="1">thm_b(C227,qi,Di,bi,bf,telf,bterm,tterm)</f>
        <v>0.3</v>
      </c>
      <c r="N227" cm="1">
        <f t="array" aca="1" ref="N227" ca="1">thm_monthly_vol(C227,qi,Di,bi,bf,telf,bterm,tterm)</f>
        <v>1.4196835930988527E-3</v>
      </c>
      <c r="O227" cm="1">
        <f t="array" aca="1" ref="O227" ca="1">thm_cum($C227,qi,Di,bi,bf,telf,bterm,tterm)</f>
        <v>748.2515438938284</v>
      </c>
      <c r="Q227" cm="1">
        <f t="array" aca="1" ref="Q227" ca="1">thm_rate(C227,$F$3,$F$4,$F$5,$F$6,$F$7,$F$8,$F$9)</f>
        <v>4.6618482248347456E-2</v>
      </c>
    </row>
    <row r="228" spans="2:17" x14ac:dyDescent="0.25">
      <c r="B228" cm="1">
        <f t="array" ref="B228">B227+log_interval</f>
        <v>11.455360837645353</v>
      </c>
      <c r="C228">
        <f t="shared" si="8"/>
        <v>94406.08762859003</v>
      </c>
      <c r="D228">
        <f ca="1"/>
        <v>3.9147866076493711E-2</v>
      </c>
      <c r="E228">
        <f ca="1"/>
        <v>3.2220182280987769E-5</v>
      </c>
      <c r="F228">
        <f ca="1"/>
        <v>0.3</v>
      </c>
      <c r="G228">
        <f ca="1"/>
        <v>748.47726362619221</v>
      </c>
      <c r="H228">
        <f t="shared" ca="1" si="9"/>
        <v>650.87790978899704</v>
      </c>
      <c r="J228" s="5" cm="1">
        <f t="array" aca="1" ref="J228" ca="1">thm_rate($C228,qi,Di,bi,bf,telf,bterm,tterm)</f>
        <v>3.9147866076493711E-2</v>
      </c>
      <c r="K228" s="5" cm="1">
        <f t="array" aca="1" ref="K228" ca="1">thm_D($C228,qi,Di,bi,bf,telf,bterm,tterm)</f>
        <v>3.2220182280987769E-5</v>
      </c>
      <c r="L228" s="3" cm="1">
        <f t="array" aca="1" ref="L228" ca="1">thm_D_eff(C228,qi,Di,bi,bf,telf,bterm,tterm)</f>
        <v>1.1678961224531381E-2</v>
      </c>
      <c r="M228" cm="1">
        <f t="array" aca="1" ref="M228" ca="1">thm_b(C228,qi,Di,bi,bf,telf,bterm,tterm)</f>
        <v>0.3</v>
      </c>
      <c r="N228" cm="1">
        <f t="array" aca="1" ref="N228" ca="1">thm_monthly_vol(C228,qi,Di,bi,bf,telf,bterm,tterm)</f>
        <v>1.192147706092328E-3</v>
      </c>
      <c r="O228" cm="1">
        <f t="array" aca="1" ref="O228" ca="1">thm_cum($C228,qi,Di,bi,bf,telf,bterm,tterm)</f>
        <v>748.47726362619221</v>
      </c>
      <c r="Q228" cm="1">
        <f t="array" aca="1" ref="Q228" ca="1">thm_rate(C228,$F$3,$F$4,$F$5,$F$6,$F$7,$F$8,$F$9)</f>
        <v>3.914786607649369E-2</v>
      </c>
    </row>
    <row r="229" spans="2:17" x14ac:dyDescent="0.25">
      <c r="B229" cm="1">
        <f t="array" ref="B229">B228+log_interval</f>
        <v>11.512925464970204</v>
      </c>
      <c r="C229">
        <f t="shared" si="8"/>
        <v>99999.999999997526</v>
      </c>
      <c r="D229">
        <f ca="1"/>
        <v>3.2845443032001445E-2</v>
      </c>
      <c r="E229">
        <f ca="1"/>
        <v>3.0567371988106253E-5</v>
      </c>
      <c r="F229">
        <f ca="1"/>
        <v>0.3</v>
      </c>
      <c r="G229">
        <f ca="1"/>
        <v>748.67795571723161</v>
      </c>
      <c r="H229">
        <f t="shared" ca="1" si="9"/>
        <v>651.05243218944258</v>
      </c>
      <c r="J229" s="5" cm="1">
        <f t="array" aca="1" ref="J229" ca="1">thm_rate($C229,qi,Di,bi,bf,telf,bterm,tterm)</f>
        <v>3.2845443032001445E-2</v>
      </c>
      <c r="K229" s="5" cm="1">
        <f t="array" aca="1" ref="K229" ca="1">thm_D($C229,qi,Di,bi,bf,telf,bterm,tterm)</f>
        <v>3.0567371988106253E-5</v>
      </c>
      <c r="L229" s="3" cm="1">
        <f t="array" aca="1" ref="L229" ca="1">thm_D_eff(C229,qi,Di,bi,bf,telf,bterm,tterm)</f>
        <v>1.1084189212477891E-2</v>
      </c>
      <c r="M229" cm="1">
        <f t="array" aca="1" ref="M229" ca="1">thm_b(C229,qi,Di,bi,bf,telf,bterm,tterm)</f>
        <v>0.3</v>
      </c>
      <c r="N229" cm="1">
        <f t="array" aca="1" ref="N229" ca="1">thm_monthly_vol(C229,qi,Di,bi,bf,telf,bterm,tterm)</f>
        <v>1.0001984329619518E-3</v>
      </c>
      <c r="O229" cm="1">
        <f t="array" aca="1" ref="O229" ca="1">thm_cum($C229,qi,Di,bi,bf,telf,bterm,tterm)</f>
        <v>748.67795571723161</v>
      </c>
      <c r="Q229" cm="1">
        <f t="array" aca="1" ref="Q229" ca="1">thm_rate(C229,$F$3,$F$4,$F$5,$F$6,$F$7,$F$8,$F$9)</f>
        <v>3.2845443032001431E-2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Tests</vt:lpstr>
      <vt:lpstr>bf</vt:lpstr>
      <vt:lpstr>bi</vt:lpstr>
      <vt:lpstr>bterm</vt:lpstr>
      <vt:lpstr>Di</vt:lpstr>
      <vt:lpstr>ModelTime</vt:lpstr>
      <vt:lpstr>qi</vt:lpstr>
      <vt:lpstr>telf</vt:lpstr>
      <vt:lpstr>tterm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Fulford</dc:creator>
  <cp:lastModifiedBy>David Fulford</cp:lastModifiedBy>
  <dcterms:created xsi:type="dcterms:W3CDTF">2021-08-14T14:52:26Z</dcterms:created>
  <dcterms:modified xsi:type="dcterms:W3CDTF">2021-08-14T17:25:49Z</dcterms:modified>
</cp:coreProperties>
</file>